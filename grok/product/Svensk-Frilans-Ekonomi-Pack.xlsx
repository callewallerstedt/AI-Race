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Setup" sheetId="2" state="visible" r:id="rId2"/>
    <sheet name="02_Fee_Catalog" sheetId="3" state="visible" r:id="rId3"/>
    <sheet name="03_Pricing" sheetId="4" state="visible" r:id="rId4"/>
    <sheet name="04_Income_Log" sheetId="5" state="visible" r:id="rId5"/>
    <sheet name="05_Expense_Log" sheetId="6" state="visible" r:id="rId6"/>
    <sheet name="06_Cashflow" sheetId="7" state="visible" r:id="rId7"/>
    <sheet name="07_Invoice_Log" sheetId="8" state="visible" r:id="rId8"/>
    <sheet name="08_Tax_Estimate" sheetId="9" state="visible" r:id="rId9"/>
    <sheet name="09_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2A4A"/>
      <sz val="18"/>
    </font>
    <font>
      <name val="Calibri"/>
      <b val="1"/>
      <color rgb="00FFFFFF"/>
      <sz val="11"/>
    </font>
    <font>
      <b val="1"/>
      <color rgb="001B2A4A"/>
    </font>
    <font>
      <b val="1"/>
    </font>
    <font>
      <i val="1"/>
      <color rgb="0064748B"/>
    </font>
    <font>
      <b val="1"/>
      <color rgb="000F766E"/>
    </font>
    <font>
      <b val="1"/>
      <color rgb="001B2A4A"/>
      <sz val="14"/>
    </font>
    <font>
      <b val="1"/>
      <color rgb="000F766E"/>
      <sz val="14"/>
    </font>
    <font>
      <b val="1"/>
      <color rgb="001B2A4A"/>
      <sz val="13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EF3C7"/>
      </patternFill>
    </fill>
    <fill>
      <patternFill patternType="solid">
        <fgColor rgb="000F766E"/>
      </patternFill>
    </fill>
    <fill>
      <patternFill patternType="solid">
        <fgColor rgb="00F0FD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wrapText="1"/>
    </xf>
    <xf numFmtId="0" fontId="4" fillId="0" borderId="1" pivotButton="0" quotePrefix="0" xfId="0"/>
    <xf numFmtId="0" fontId="0" fillId="3" borderId="1" applyAlignment="1" pivotButton="0" quotePrefix="0" xfId="0">
      <alignment horizontal="left" vertical="center"/>
    </xf>
    <xf numFmtId="0" fontId="5" fillId="0" borderId="1" pivotButton="0" quotePrefix="0" xfId="0"/>
    <xf numFmtId="4" fontId="0" fillId="3" borderId="1" applyAlignment="1" pivotButton="0" quotePrefix="0" xfId="0">
      <alignment horizontal="left" vertical="center"/>
    </xf>
    <xf numFmtId="10" fontId="0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0" borderId="0" pivotButton="0" quotePrefix="0" xfId="0"/>
    <xf numFmtId="2" fontId="0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left" vertical="center"/>
    </xf>
    <xf numFmtId="4" fontId="0" fillId="5" borderId="1" pivotButton="0" quotePrefix="0" xfId="0"/>
    <xf numFmtId="10" fontId="0" fillId="5" borderId="1" pivotButton="0" quotePrefix="0" xfId="0"/>
    <xf numFmtId="0" fontId="0" fillId="5" borderId="1" pivotButton="0" quotePrefix="0" xfId="0"/>
    <xf numFmtId="4" fontId="3" fillId="5" borderId="1" pivotButton="0" quotePrefix="0" xfId="0"/>
    <xf numFmtId="4" fontId="4" fillId="0" borderId="0" pivotButton="0" quotePrefix="0" xfId="0"/>
    <xf numFmtId="4" fontId="0" fillId="0" borderId="1" pivotButton="0" quotePrefix="0" xfId="0"/>
    <xf numFmtId="0" fontId="0" fillId="0" borderId="0" applyAlignment="1" pivotButton="0" quotePrefix="0" xfId="0">
      <alignment wrapText="1"/>
    </xf>
    <xf numFmtId="4" fontId="8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Running balance (SEK)</a:t>
            </a:r>
          </a:p>
        </rich>
      </tx>
    </title>
    <plotArea>
      <lineChart>
        <grouping val="standard"/>
        <ser>
          <idx val="0"/>
          <order val="0"/>
          <tx>
            <strRef>
              <f>'06_Cashflow'!F3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'06_Cashflow'!$A$4:$A$34</f>
            </numRef>
          </cat>
          <val>
            <numRef>
              <f>'06_Cashflow'!$F$4:$F$34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8" customHeight="1">
      <c r="A1" s="1" t="inlineStr">
        <is>
          <t>Svensk Frilans Ekonomi Pack — README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Version</t>
        </is>
      </c>
      <c r="B4" s="4" t="inlineStr">
        <is>
          <t>1.0 — AI Race product build</t>
        </is>
      </c>
    </row>
    <row r="5">
      <c r="A5" s="3" t="inlineStr">
        <is>
          <t>Purpose</t>
        </is>
      </c>
      <c r="B5" s="4" t="inlineStr">
        <is>
          <t>Practical cash control for Swedish freelancers / egenanställda</t>
        </is>
      </c>
    </row>
    <row r="6">
      <c r="A6" s="3" t="inlineStr">
        <is>
          <t>Not</t>
        </is>
      </c>
      <c r="B6" s="4" t="inlineStr">
        <is>
          <t>Not bookkeeping software. Not tax advice. Not a substitute for Bokio/Fortnox/accountant.</t>
        </is>
      </c>
    </row>
    <row r="7" ht="45" customHeight="1">
      <c r="A7" s="3" t="inlineStr">
        <is>
          <t>Legal note</t>
        </is>
      </c>
      <c r="B7" s="4" t="inlineStr">
        <is>
          <t>Swedish bookkeeping law requires immutable bookkeeping systems; Excel is for planning/logs only.</t>
        </is>
      </c>
    </row>
    <row r="8" ht="45" customHeight="1">
      <c r="A8" s="3" t="inlineStr">
        <is>
          <t>Sheets</t>
        </is>
      </c>
      <c r="B8" s="4" t="inlineStr">
        <is>
          <t>Setup · Fee_Catalog · Pricing · Income_Log · Expense_Log · Cashflow · Invoice_Log · Tax_Estimate · Dashboard</t>
        </is>
      </c>
    </row>
    <row r="9">
      <c r="A9" s="3" t="inlineStr">
        <is>
          <t>How to use</t>
        </is>
      </c>
      <c r="B9" s="4" t="inlineStr">
        <is>
          <t>1) Fill Setup. 2) Log income/expenses. 3) Price jobs in Pricing. 4) Review Dashboard weekly.</t>
        </is>
      </c>
    </row>
    <row r="10">
      <c r="A10" s="3" t="inlineStr">
        <is>
          <t>Google Sheets</t>
        </is>
      </c>
      <c r="B10" s="4" t="inlineStr">
        <is>
          <t>File → Import → Upload this .xlsx → Replace spreadsheet.</t>
        </is>
      </c>
    </row>
    <row r="11">
      <c r="A11" s="3" t="inlineStr">
        <is>
          <t>Currency</t>
        </is>
      </c>
      <c r="B11" s="4" t="inlineStr">
        <is>
          <t>SEK throughout</t>
        </is>
      </c>
    </row>
    <row r="12">
      <c r="A12" s="3" t="inlineStr">
        <is>
          <t>Support</t>
        </is>
      </c>
      <c r="B12" s="4" t="inlineStr">
        <is>
          <t>Product includes formulas only; update fee rates if platforms change.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70" customWidth="1" min="3" max="3"/>
  </cols>
  <sheetData>
    <row r="1" ht="28" customHeight="1">
      <c r="A1" s="1" t="inlineStr">
        <is>
          <t>Setup — your defaults</t>
        </is>
      </c>
    </row>
    <row r="3">
      <c r="A3" s="2" t="inlineStr">
        <is>
          <t>Setting</t>
        </is>
      </c>
      <c r="B3" s="2" t="inlineStr">
        <is>
          <t>Value</t>
        </is>
      </c>
      <c r="C3" s="2" t="inlineStr">
        <is>
          <t>Notes</t>
        </is>
      </c>
    </row>
    <row r="4">
      <c r="A4" s="5" t="inlineStr">
        <is>
          <t>Display name</t>
        </is>
      </c>
      <c r="B4" s="6" t="inlineStr">
        <is>
          <t>Ditt namn</t>
        </is>
      </c>
      <c r="C4" s="7" t="inlineStr">
        <is>
          <t>Shown on invoice log exports</t>
        </is>
      </c>
    </row>
    <row r="5">
      <c r="A5" s="5" t="inlineStr">
        <is>
          <t>Default platform</t>
        </is>
      </c>
      <c r="B5" s="6" t="inlineStr">
        <is>
          <t>Direktkund</t>
        </is>
      </c>
      <c r="C5" s="7" t="inlineStr">
        <is>
          <t>Direktkund / Frilans Finans / Fiverr / Gumroad / Annat</t>
        </is>
      </c>
    </row>
    <row r="6">
      <c r="A6" s="5" t="inlineStr">
        <is>
          <t>Default hourly target SEK</t>
        </is>
      </c>
      <c r="B6" s="8" t="n">
        <v>650</v>
      </c>
      <c r="C6" s="7" t="inlineStr">
        <is>
          <t>What you want to earn per effective hour before platform fees</t>
        </is>
      </c>
    </row>
    <row r="7">
      <c r="A7" s="5" t="inlineStr">
        <is>
          <t>Target net monthly SEK</t>
        </is>
      </c>
      <c r="B7" s="8" t="n">
        <v>25000</v>
      </c>
      <c r="C7" s="7" t="inlineStr">
        <is>
          <t>After rough tax estimate — planning only</t>
        </is>
      </c>
    </row>
    <row r="8">
      <c r="A8" s="5" t="inlineStr">
        <is>
          <t>Illustrative income tax %</t>
        </is>
      </c>
      <c r="B8" s="9" t="n">
        <v>0.3</v>
      </c>
      <c r="C8" s="7" t="inlineStr">
        <is>
          <t>Rough personal planning rate — replace with your own estimate</t>
        </is>
      </c>
    </row>
    <row r="9">
      <c r="A9" s="5" t="inlineStr">
        <is>
          <t>Employer fee / social approx %</t>
        </is>
      </c>
      <c r="B9" s="9" t="n">
        <v>0.3142</v>
      </c>
      <c r="C9" s="7" t="inlineStr">
        <is>
          <t>Relevant when comparing egenanställning gross invoice vs net</t>
        </is>
      </c>
    </row>
    <row r="10">
      <c r="A10" s="5" t="inlineStr">
        <is>
          <t>Frilans Finans fee %</t>
        </is>
      </c>
      <c r="B10" s="9" t="n">
        <v>0.06</v>
      </c>
      <c r="C10" s="7" t="inlineStr">
        <is>
          <t>Update if your plan differs</t>
        </is>
      </c>
    </row>
    <row r="11">
      <c r="A11" s="5" t="inlineStr">
        <is>
          <t>Fiverr fee %</t>
        </is>
      </c>
      <c r="B11" s="9" t="n">
        <v>0.2</v>
      </c>
      <c r="C11" s="7" t="inlineStr">
        <is>
          <t>Seller commission</t>
        </is>
      </c>
    </row>
    <row r="12">
      <c r="A12" s="5" t="inlineStr">
        <is>
          <t>Gumroad fee %</t>
        </is>
      </c>
      <c r="B12" s="9" t="n">
        <v>0.1</v>
      </c>
      <c r="C12" s="7" t="inlineStr">
        <is>
          <t>Approx platform fee; processing may differ</t>
        </is>
      </c>
    </row>
    <row r="13">
      <c r="A13" s="5" t="inlineStr">
        <is>
          <t>Payhip free fee %</t>
        </is>
      </c>
      <c r="B13" s="9" t="n">
        <v>0.05</v>
      </c>
      <c r="C13" s="7" t="inlineStr">
        <is>
          <t>Plus separate Stripe/PayPal processing outside this model</t>
        </is>
      </c>
    </row>
    <row r="14">
      <c r="A14" s="5" t="inlineStr">
        <is>
          <t>VAT registered?</t>
        </is>
      </c>
      <c r="B14" s="6" t="inlineStr">
        <is>
          <t>Nej</t>
        </is>
      </c>
      <c r="C14" s="7" t="inlineStr">
        <is>
          <t>Ja/Nej — if Ja, use 25% on eligible sales in Pricing</t>
        </is>
      </c>
    </row>
    <row r="15">
      <c r="A15" s="5" t="inlineStr">
        <is>
          <t>Default VAT %</t>
        </is>
      </c>
      <c r="B15" s="9" t="n">
        <v>0.25</v>
      </c>
      <c r="C15" s="7" t="inlineStr">
        <is>
          <t>Standard Swedish moms</t>
        </is>
      </c>
    </row>
    <row r="16">
      <c r="A16" s="5" t="inlineStr">
        <is>
          <t>Starting cash SEK</t>
        </is>
      </c>
      <c r="B16" s="8" t="n">
        <v>200</v>
      </c>
      <c r="C16" s="7" t="inlineStr">
        <is>
          <t>Optional opening balance for Cashflow</t>
        </is>
      </c>
    </row>
    <row r="17">
      <c r="A17" s="5" t="inlineStr">
        <is>
          <t>Race / project tag</t>
        </is>
      </c>
      <c r="B17" s="6" t="inlineStr">
        <is>
          <t>AI-Race</t>
        </is>
      </c>
      <c r="C17" s="7" t="inlineStr">
        <is>
          <t>Optional label</t>
        </is>
      </c>
    </row>
    <row r="20">
      <c r="A20" s="10" t="inlineStr">
        <is>
          <t>Named ranges used by other sheets read these B cells directly.</t>
        </is>
      </c>
    </row>
  </sheetData>
  <mergeCells count="1">
    <mergeCell ref="A1:C1"/>
  </mergeCells>
  <dataValidations count="2">
    <dataValidation sqref="B5" showDropDown="0" showInputMessage="0" showErrorMessage="0" allowBlank="1" type="list">
      <formula1>"Direktkund,Frilans Finans,Fiverr,Gumroad,Payhip,Annat"</formula1>
    </dataValidation>
    <dataValidation sqref="B14" showDropDown="0" showInputMessage="0" showErrorMessage="0" allowBlank="1" type="list">
      <formula1>"Ja,Nej"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48" customWidth="1" min="3" max="3"/>
    <col width="40" customWidth="1" min="4" max="4"/>
    <col width="28" customWidth="1" min="5" max="5"/>
  </cols>
  <sheetData>
    <row r="1" ht="28" customHeight="1">
      <c r="A1" s="1" t="inlineStr">
        <is>
          <t>Fee catalog — edit rates when platforms change</t>
        </is>
      </c>
    </row>
    <row r="3">
      <c r="A3" s="11" t="inlineStr">
        <is>
          <t>Platform</t>
        </is>
      </c>
      <c r="B3" s="11" t="inlineStr">
        <is>
          <t>Fee %</t>
        </is>
      </c>
      <c r="C3" s="11" t="inlineStr">
        <is>
          <t>Settlement note</t>
        </is>
      </c>
      <c r="D3" s="11" t="inlineStr">
        <is>
          <t>Typical payout lag</t>
        </is>
      </c>
      <c r="E3" s="11" t="inlineStr">
        <is>
          <t>Source / checked</t>
        </is>
      </c>
    </row>
    <row r="4">
      <c r="A4" s="5" t="inlineStr">
        <is>
          <t>Direktkund / Swish</t>
        </is>
      </c>
      <c r="B4" s="9" t="n">
        <v>0</v>
      </c>
      <c r="C4" s="12" t="inlineStr">
        <is>
          <t>Direct payment</t>
        </is>
      </c>
      <c r="D4" s="12" t="inlineStr">
        <is>
          <t>Immediate–1 day</t>
        </is>
      </c>
      <c r="E4" s="12" t="inlineStr">
        <is>
          <t>Frilans Finans Swish docs</t>
        </is>
      </c>
    </row>
    <row r="5">
      <c r="A5" s="5" t="inlineStr">
        <is>
          <t>Frilans Finans invoice</t>
        </is>
      </c>
      <c r="B5" s="9" t="n">
        <v>0.06</v>
      </c>
      <c r="C5" s="12" t="inlineStr">
        <is>
          <t>Gross invoice fee before tax/employer charges</t>
        </is>
      </c>
      <c r="D5" s="12" t="inlineStr">
        <is>
          <t>≈5 bank days salary</t>
        </is>
      </c>
      <c r="E5" s="12" t="inlineStr">
        <is>
          <t>frilansfinans.se 2026</t>
        </is>
      </c>
    </row>
    <row r="6">
      <c r="A6" s="5" t="inlineStr">
        <is>
          <t>Fiverr</t>
        </is>
      </c>
      <c r="B6" s="9" t="n">
        <v>0.2</v>
      </c>
      <c r="C6" s="12" t="inlineStr">
        <is>
          <t>Seller commission on order value</t>
        </is>
      </c>
      <c r="D6" s="12" t="inlineStr">
        <is>
          <t>14 days after completion (new sellers)</t>
        </is>
      </c>
      <c r="E6" s="12" t="inlineStr">
        <is>
          <t>Fiverr Help 2026</t>
        </is>
      </c>
    </row>
    <row r="7">
      <c r="A7" s="5" t="inlineStr">
        <is>
          <t>Gumroad</t>
        </is>
      </c>
      <c r="B7" s="9" t="n">
        <v>0.1</v>
      </c>
      <c r="C7" s="12" t="inlineStr">
        <is>
          <t>Platform fee; payout holds apply</t>
        </is>
      </c>
      <c r="D7" s="12" t="inlineStr">
        <is>
          <t>7-day hold + weekly payout; new-account review</t>
        </is>
      </c>
      <c r="E7" s="12" t="inlineStr">
        <is>
          <t>gumroad.com/help 2026</t>
        </is>
      </c>
    </row>
    <row r="8">
      <c r="A8" s="5" t="inlineStr">
        <is>
          <t>Payhip Free</t>
        </is>
      </c>
      <c r="B8" s="9" t="n">
        <v>0.05</v>
      </c>
      <c r="C8" s="12" t="inlineStr">
        <is>
          <t>Plus Stripe/PayPal processing separately</t>
        </is>
      </c>
      <c r="D8" s="12" t="inlineStr">
        <is>
          <t>Processor-connected / often fast</t>
        </is>
      </c>
      <c r="E8" s="12" t="inlineStr">
        <is>
          <t>Payhip pricing pages 2026</t>
        </is>
      </c>
    </row>
    <row r="9">
      <c r="A9" s="5" t="inlineStr">
        <is>
          <t>Etsy digital</t>
        </is>
      </c>
      <c r="B9" s="9" t="n">
        <v>0.065</v>
      </c>
      <c r="C9" s="12" t="inlineStr">
        <is>
          <t>Plus listing $0.20 + processing</t>
        </is>
      </c>
      <c r="D9" s="12" t="inlineStr">
        <is>
          <t>New seller holds possible</t>
        </is>
      </c>
      <c r="E9" s="12" t="inlineStr">
        <is>
          <t>Etsy fee guides 2026</t>
        </is>
      </c>
    </row>
    <row r="10">
      <c r="A10" s="5" t="inlineStr">
        <is>
          <t>Upwork</t>
        </is>
      </c>
      <c r="B10" s="9" t="n">
        <v>0.1</v>
      </c>
      <c r="C10" s="12" t="inlineStr">
        <is>
          <t>Varies by contract history</t>
        </is>
      </c>
      <c r="D10" s="12" t="inlineStr">
        <is>
          <t>Platform withdrawal rules</t>
        </is>
      </c>
      <c r="E10" s="12" t="inlineStr">
        <is>
          <t>Verify before quoting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4" customWidth="1" min="3" max="3"/>
    <col width="22" customWidth="1" min="4" max="4"/>
    <col width="10" customWidth="1" min="5" max="5"/>
    <col width="14" customWidth="1" min="6" max="6"/>
  </cols>
  <sheetData>
    <row r="1" ht="28" customHeight="1">
      <c r="A1" s="1" t="inlineStr">
        <is>
          <t>Job pricing calculator — quote with fees in mind</t>
        </is>
      </c>
    </row>
    <row r="3">
      <c r="A3" s="2" t="inlineStr">
        <is>
          <t>Field</t>
        </is>
      </c>
      <c r="B3" s="2" t="inlineStr">
        <is>
          <t>Value</t>
        </is>
      </c>
      <c r="D3" s="13" t="inlineStr">
        <is>
          <t>Quick quote presets (edit freely)</t>
        </is>
      </c>
    </row>
    <row r="4">
      <c r="A4" s="12" t="inlineStr">
        <is>
          <t>Job name</t>
        </is>
      </c>
      <c r="B4" s="6" t="inlineStr">
        <is>
          <t>Landing page — Basic</t>
        </is>
      </c>
      <c r="D4" s="11" t="inlineStr">
        <is>
          <t>Offer</t>
        </is>
      </c>
      <c r="E4" s="11" t="inlineStr">
        <is>
          <t>Hours</t>
        </is>
      </c>
      <c r="F4" s="11" t="inlineStr">
        <is>
          <t>List price SEK</t>
        </is>
      </c>
    </row>
    <row r="5">
      <c r="A5" s="12" t="inlineStr">
        <is>
          <t>Estimated hours</t>
        </is>
      </c>
      <c r="B5" s="14" t="n">
        <v>6</v>
      </c>
      <c r="D5" s="12" t="inlineStr">
        <is>
          <t>Webbfix Mini</t>
        </is>
      </c>
      <c r="E5" s="6" t="n">
        <v>2</v>
      </c>
      <c r="F5" s="15" t="n">
        <v>499</v>
      </c>
    </row>
    <row r="6">
      <c r="A6" s="12" t="inlineStr">
        <is>
          <t>Hourly target SEK</t>
        </is>
      </c>
      <c r="B6" s="16">
        <f>'01_Setup'!B6</f>
        <v/>
      </c>
      <c r="D6" s="12" t="inlineStr">
        <is>
          <t>Landing Basic</t>
        </is>
      </c>
      <c r="E6" s="6" t="n">
        <v>6</v>
      </c>
      <c r="F6" s="15" t="n">
        <v>999</v>
      </c>
    </row>
    <row r="7">
      <c r="A7" s="12" t="inlineStr">
        <is>
          <t>Desired net to you SEK</t>
        </is>
      </c>
      <c r="B7" s="16">
        <f>B5*B6</f>
        <v/>
      </c>
      <c r="D7" s="12" t="inlineStr">
        <is>
          <t>Landing Pro</t>
        </is>
      </c>
      <c r="E7" s="6" t="n">
        <v>12</v>
      </c>
      <c r="F7" s="15" t="n">
        <v>1799</v>
      </c>
    </row>
    <row r="8">
      <c r="A8" s="12" t="inlineStr">
        <is>
          <t>Platform</t>
        </is>
      </c>
      <c r="B8" s="6" t="inlineStr">
        <is>
          <t>Frilans Finans</t>
        </is>
      </c>
      <c r="D8" s="12" t="inlineStr">
        <is>
          <t>Sheet automation</t>
        </is>
      </c>
      <c r="E8" s="6" t="n">
        <v>4</v>
      </c>
      <c r="F8" s="15" t="n">
        <v>799</v>
      </c>
    </row>
    <row r="9">
      <c r="A9" s="12" t="inlineStr">
        <is>
          <t>Platform fee %</t>
        </is>
      </c>
      <c r="B9" s="17">
        <f>IF(B8="Fiverr",'01_Setup'!B11,IF(B8="Gumroad",'01_Setup'!B12,IF(B8="Payhip",'01_Setup'!B13,IF(B8="Frilans Finans",'01_Setup'!B10,0))))</f>
        <v/>
      </c>
      <c r="D9" s="12" t="inlineStr">
        <is>
          <t>Digital product</t>
        </is>
      </c>
      <c r="E9" s="6" t="n">
        <v>0</v>
      </c>
      <c r="F9" s="15" t="n">
        <v>149</v>
      </c>
    </row>
    <row r="10">
      <c r="A10" s="12" t="inlineStr">
        <is>
          <t>VAT applicable?</t>
        </is>
      </c>
      <c r="B10" s="18">
        <f>'01_Setup'!B14</f>
        <v/>
      </c>
    </row>
    <row r="11">
      <c r="A11" s="12" t="inlineStr">
        <is>
          <t>VAT %</t>
        </is>
      </c>
      <c r="B11" s="17">
        <f>IF(B10="Ja",'01_Setup'!B15,0)</f>
        <v/>
      </c>
    </row>
    <row r="13">
      <c r="A13" s="11" t="inlineStr">
        <is>
          <t>Output</t>
        </is>
      </c>
      <c r="B13" s="11" t="inlineStr">
        <is>
          <t>SEK / value</t>
        </is>
      </c>
    </row>
    <row r="14">
      <c r="A14" s="12" t="inlineStr">
        <is>
          <t>Gross to charge before VAT</t>
        </is>
      </c>
      <c r="B14" s="19">
        <f>IF((1-B9)=0,0,B7/(1-B9))</f>
        <v/>
      </c>
    </row>
    <row r="15">
      <c r="A15" s="12" t="inlineStr">
        <is>
          <t>Platform fee SEK</t>
        </is>
      </c>
      <c r="B15" s="19">
        <f>B14*B9</f>
        <v/>
      </c>
    </row>
    <row r="16">
      <c r="A16" s="12" t="inlineStr">
        <is>
          <t>VAT SEK</t>
        </is>
      </c>
      <c r="B16" s="19">
        <f>B14*B11</f>
        <v/>
      </c>
    </row>
    <row r="17">
      <c r="A17" s="12" t="inlineStr">
        <is>
          <t>Customer pays (incl VAT)</t>
        </is>
      </c>
      <c r="B17" s="19">
        <f>B14+B16</f>
        <v/>
      </c>
    </row>
    <row r="18">
      <c r="A18" s="12" t="inlineStr">
        <is>
          <t>You keep before income tax (approx)</t>
        </is>
      </c>
      <c r="B18" s="19">
        <f>B14-B15</f>
        <v/>
      </c>
    </row>
    <row r="19">
      <c r="A19" s="12" t="inlineStr">
        <is>
          <t>Illustrative after income tax</t>
        </is>
      </c>
      <c r="B19" s="19">
        <f>B18*(1-'01_Setup'!B8)</f>
        <v/>
      </c>
    </row>
    <row r="20">
      <c r="A20" s="12" t="inlineStr">
        <is>
          <t>Effective hourly after platform fee</t>
        </is>
      </c>
      <c r="B20" s="19">
        <f>IF(B5=0,0,B18/B5)</f>
        <v/>
      </c>
    </row>
  </sheetData>
  <mergeCells count="1">
    <mergeCell ref="A1:F1"/>
  </mergeCells>
  <dataValidations count="1">
    <dataValidation sqref="B8" showDropDown="0" showInputMessage="0" showErrorMessage="0" allowBlank="1" type="list">
      <formula1>"Direktkund,Frilans Finans,Fiverr,Gumroad,Payhip,Annat"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6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6" customWidth="1" min="11" max="11"/>
    <col width="24" customWidth="1" min="12" max="12"/>
  </cols>
  <sheetData>
    <row r="1" ht="28" customHeight="1">
      <c r="A1" s="1" t="inlineStr">
        <is>
          <t>Income log — settled and pending</t>
        </is>
      </c>
    </row>
    <row r="3">
      <c r="A3" s="11" t="inlineStr">
        <is>
          <t>Date</t>
        </is>
      </c>
      <c r="B3" s="11" t="inlineStr">
        <is>
          <t>Client / source</t>
        </is>
      </c>
      <c r="C3" s="11" t="inlineStr">
        <is>
          <t>Description</t>
        </is>
      </c>
      <c r="D3" s="11" t="inlineStr">
        <is>
          <t>Platform</t>
        </is>
      </c>
      <c r="E3" s="11" t="inlineStr">
        <is>
          <t>Gross SEK</t>
        </is>
      </c>
      <c r="F3" s="11" t="inlineStr">
        <is>
          <t>Fee %</t>
        </is>
      </c>
      <c r="G3" s="11" t="inlineStr">
        <is>
          <t>Fee SEK</t>
        </is>
      </c>
      <c r="H3" s="11" t="inlineStr">
        <is>
          <t>Net SEK</t>
        </is>
      </c>
      <c r="I3" s="11" t="inlineStr">
        <is>
          <t>Status</t>
        </is>
      </c>
      <c r="J3" s="11" t="inlineStr">
        <is>
          <t>Settled date</t>
        </is>
      </c>
      <c r="K3" s="11" t="inlineStr">
        <is>
          <t>Evidence ref</t>
        </is>
      </c>
      <c r="L3" s="11" t="inlineStr">
        <is>
          <t>Notes</t>
        </is>
      </c>
    </row>
    <row r="4">
      <c r="A4" s="6" t="n"/>
      <c r="B4" s="6" t="n"/>
      <c r="C4" s="6" t="n"/>
      <c r="D4" s="6" t="n"/>
      <c r="E4" s="8" t="n"/>
      <c r="F4" s="17">
        <f>IF(D4="","",IF(D4="Fiverr",'01_Setup'!B11,IF(D4="Gumroad",'01_Setup'!B12,IF(D4="Payhip",'01_Setup'!B13,IF(D4="Frilans Finans",'01_Setup'!B10,0)))))</f>
        <v/>
      </c>
      <c r="G4" s="16">
        <f>IF(E4="","",E4*F4)</f>
        <v/>
      </c>
      <c r="H4" s="16">
        <f>IF(E4="","",E4-G4)</f>
        <v/>
      </c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8" t="n"/>
      <c r="F5" s="17">
        <f>IF(D5="","",IF(D5="Fiverr",'01_Setup'!B11,IF(D5="Gumroad",'01_Setup'!B12,IF(D5="Payhip",'01_Setup'!B13,IF(D5="Frilans Finans",'01_Setup'!B10,0)))))</f>
        <v/>
      </c>
      <c r="G5" s="16">
        <f>IF(E5="","",E5*F5)</f>
        <v/>
      </c>
      <c r="H5" s="16">
        <f>IF(E5="","",E5-G5)</f>
        <v/>
      </c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8" t="n"/>
      <c r="F6" s="17">
        <f>IF(D6="","",IF(D6="Fiverr",'01_Setup'!B11,IF(D6="Gumroad",'01_Setup'!B12,IF(D6="Payhip",'01_Setup'!B13,IF(D6="Frilans Finans",'01_Setup'!B10,0)))))</f>
        <v/>
      </c>
      <c r="G6" s="16">
        <f>IF(E6="","",E6*F6)</f>
        <v/>
      </c>
      <c r="H6" s="16">
        <f>IF(E6="","",E6-G6)</f>
        <v/>
      </c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8" t="n"/>
      <c r="F7" s="17">
        <f>IF(D7="","",IF(D7="Fiverr",'01_Setup'!B11,IF(D7="Gumroad",'01_Setup'!B12,IF(D7="Payhip",'01_Setup'!B13,IF(D7="Frilans Finans",'01_Setup'!B10,0)))))</f>
        <v/>
      </c>
      <c r="G7" s="16">
        <f>IF(E7="","",E7*F7)</f>
        <v/>
      </c>
      <c r="H7" s="16">
        <f>IF(E7="","",E7-G7)</f>
        <v/>
      </c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8" t="n"/>
      <c r="F8" s="17">
        <f>IF(D8="","",IF(D8="Fiverr",'01_Setup'!B11,IF(D8="Gumroad",'01_Setup'!B12,IF(D8="Payhip",'01_Setup'!B13,IF(D8="Frilans Finans",'01_Setup'!B10,0)))))</f>
        <v/>
      </c>
      <c r="G8" s="16">
        <f>IF(E8="","",E8*F8)</f>
        <v/>
      </c>
      <c r="H8" s="16">
        <f>IF(E8="","",E8-G8)</f>
        <v/>
      </c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8" t="n"/>
      <c r="F9" s="17">
        <f>IF(D9="","",IF(D9="Fiverr",'01_Setup'!B11,IF(D9="Gumroad",'01_Setup'!B12,IF(D9="Payhip",'01_Setup'!B13,IF(D9="Frilans Finans",'01_Setup'!B10,0)))))</f>
        <v/>
      </c>
      <c r="G9" s="16">
        <f>IF(E9="","",E9*F9)</f>
        <v/>
      </c>
      <c r="H9" s="16">
        <f>IF(E9="","",E9-G9)</f>
        <v/>
      </c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8" t="n"/>
      <c r="F10" s="17">
        <f>IF(D10="","",IF(D10="Fiverr",'01_Setup'!B11,IF(D10="Gumroad",'01_Setup'!B12,IF(D10="Payhip",'01_Setup'!B13,IF(D10="Frilans Finans",'01_Setup'!B10,0)))))</f>
        <v/>
      </c>
      <c r="G10" s="16">
        <f>IF(E10="","",E10*F10)</f>
        <v/>
      </c>
      <c r="H10" s="16">
        <f>IF(E10="","",E10-G10)</f>
        <v/>
      </c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8" t="n"/>
      <c r="F11" s="17">
        <f>IF(D11="","",IF(D11="Fiverr",'01_Setup'!B11,IF(D11="Gumroad",'01_Setup'!B12,IF(D11="Payhip",'01_Setup'!B13,IF(D11="Frilans Finans",'01_Setup'!B10,0)))))</f>
        <v/>
      </c>
      <c r="G11" s="16">
        <f>IF(E11="","",E11*F11)</f>
        <v/>
      </c>
      <c r="H11" s="16">
        <f>IF(E11="","",E11-G11)</f>
        <v/>
      </c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8" t="n"/>
      <c r="F12" s="17">
        <f>IF(D12="","",IF(D12="Fiverr",'01_Setup'!B11,IF(D12="Gumroad",'01_Setup'!B12,IF(D12="Payhip",'01_Setup'!B13,IF(D12="Frilans Finans",'01_Setup'!B10,0)))))</f>
        <v/>
      </c>
      <c r="G12" s="16">
        <f>IF(E12="","",E12*F12)</f>
        <v/>
      </c>
      <c r="H12" s="16">
        <f>IF(E12="","",E12-G12)</f>
        <v/>
      </c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8" t="n"/>
      <c r="F13" s="17">
        <f>IF(D13="","",IF(D13="Fiverr",'01_Setup'!B11,IF(D13="Gumroad",'01_Setup'!B12,IF(D13="Payhip",'01_Setup'!B13,IF(D13="Frilans Finans",'01_Setup'!B10,0)))))</f>
        <v/>
      </c>
      <c r="G13" s="16">
        <f>IF(E13="","",E13*F13)</f>
        <v/>
      </c>
      <c r="H13" s="16">
        <f>IF(E13="","",E13-G13)</f>
        <v/>
      </c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8" t="n"/>
      <c r="F14" s="17">
        <f>IF(D14="","",IF(D14="Fiverr",'01_Setup'!B11,IF(D14="Gumroad",'01_Setup'!B12,IF(D14="Payhip",'01_Setup'!B13,IF(D14="Frilans Finans",'01_Setup'!B10,0)))))</f>
        <v/>
      </c>
      <c r="G14" s="16">
        <f>IF(E14="","",E14*F14)</f>
        <v/>
      </c>
      <c r="H14" s="16">
        <f>IF(E14="","",E14-G14)</f>
        <v/>
      </c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8" t="n"/>
      <c r="F15" s="17">
        <f>IF(D15="","",IF(D15="Fiverr",'01_Setup'!B11,IF(D15="Gumroad",'01_Setup'!B12,IF(D15="Payhip",'01_Setup'!B13,IF(D15="Frilans Finans",'01_Setup'!B10,0)))))</f>
        <v/>
      </c>
      <c r="G15" s="16">
        <f>IF(E15="","",E15*F15)</f>
        <v/>
      </c>
      <c r="H15" s="16">
        <f>IF(E15="","",E15-G15)</f>
        <v/>
      </c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8" t="n"/>
      <c r="F16" s="17">
        <f>IF(D16="","",IF(D16="Fiverr",'01_Setup'!B11,IF(D16="Gumroad",'01_Setup'!B12,IF(D16="Payhip",'01_Setup'!B13,IF(D16="Frilans Finans",'01_Setup'!B10,0)))))</f>
        <v/>
      </c>
      <c r="G16" s="16">
        <f>IF(E16="","",E16*F16)</f>
        <v/>
      </c>
      <c r="H16" s="16">
        <f>IF(E16="","",E16-G16)</f>
        <v/>
      </c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8" t="n"/>
      <c r="F17" s="17">
        <f>IF(D17="","",IF(D17="Fiverr",'01_Setup'!B11,IF(D17="Gumroad",'01_Setup'!B12,IF(D17="Payhip",'01_Setup'!B13,IF(D17="Frilans Finans",'01_Setup'!B10,0)))))</f>
        <v/>
      </c>
      <c r="G17" s="16">
        <f>IF(E17="","",E17*F17)</f>
        <v/>
      </c>
      <c r="H17" s="16">
        <f>IF(E17="","",E17-G17)</f>
        <v/>
      </c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8" t="n"/>
      <c r="F18" s="17">
        <f>IF(D18="","",IF(D18="Fiverr",'01_Setup'!B11,IF(D18="Gumroad",'01_Setup'!B12,IF(D18="Payhip",'01_Setup'!B13,IF(D18="Frilans Finans",'01_Setup'!B10,0)))))</f>
        <v/>
      </c>
      <c r="G18" s="16">
        <f>IF(E18="","",E18*F18)</f>
        <v/>
      </c>
      <c r="H18" s="16">
        <f>IF(E18="","",E18-G18)</f>
        <v/>
      </c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8" t="n"/>
      <c r="F19" s="17">
        <f>IF(D19="","",IF(D19="Fiverr",'01_Setup'!B11,IF(D19="Gumroad",'01_Setup'!B12,IF(D19="Payhip",'01_Setup'!B13,IF(D19="Frilans Finans",'01_Setup'!B10,0)))))</f>
        <v/>
      </c>
      <c r="G19" s="16">
        <f>IF(E19="","",E19*F19)</f>
        <v/>
      </c>
      <c r="H19" s="16">
        <f>IF(E19="","",E19-G19)</f>
        <v/>
      </c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8" t="n"/>
      <c r="F20" s="17">
        <f>IF(D20="","",IF(D20="Fiverr",'01_Setup'!B11,IF(D20="Gumroad",'01_Setup'!B12,IF(D20="Payhip",'01_Setup'!B13,IF(D20="Frilans Finans",'01_Setup'!B10,0)))))</f>
        <v/>
      </c>
      <c r="G20" s="16">
        <f>IF(E20="","",E20*F20)</f>
        <v/>
      </c>
      <c r="H20" s="16">
        <f>IF(E20="","",E20-G20)</f>
        <v/>
      </c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8" t="n"/>
      <c r="F21" s="17">
        <f>IF(D21="","",IF(D21="Fiverr",'01_Setup'!B11,IF(D21="Gumroad",'01_Setup'!B12,IF(D21="Payhip",'01_Setup'!B13,IF(D21="Frilans Finans",'01_Setup'!B10,0)))))</f>
        <v/>
      </c>
      <c r="G21" s="16">
        <f>IF(E21="","",E21*F21)</f>
        <v/>
      </c>
      <c r="H21" s="16">
        <f>IF(E21="","",E21-G21)</f>
        <v/>
      </c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8" t="n"/>
      <c r="F22" s="17">
        <f>IF(D22="","",IF(D22="Fiverr",'01_Setup'!B11,IF(D22="Gumroad",'01_Setup'!B12,IF(D22="Payhip",'01_Setup'!B13,IF(D22="Frilans Finans",'01_Setup'!B10,0)))))</f>
        <v/>
      </c>
      <c r="G22" s="16">
        <f>IF(E22="","",E22*F22)</f>
        <v/>
      </c>
      <c r="H22" s="16">
        <f>IF(E22="","",E22-G22)</f>
        <v/>
      </c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8" t="n"/>
      <c r="F23" s="17">
        <f>IF(D23="","",IF(D23="Fiverr",'01_Setup'!B11,IF(D23="Gumroad",'01_Setup'!B12,IF(D23="Payhip",'01_Setup'!B13,IF(D23="Frilans Finans",'01_Setup'!B10,0)))))</f>
        <v/>
      </c>
      <c r="G23" s="16">
        <f>IF(E23="","",E23*F23)</f>
        <v/>
      </c>
      <c r="H23" s="16">
        <f>IF(E23="","",E23-G23)</f>
        <v/>
      </c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8" t="n"/>
      <c r="F24" s="17">
        <f>IF(D24="","",IF(D24="Fiverr",'01_Setup'!B11,IF(D24="Gumroad",'01_Setup'!B12,IF(D24="Payhip",'01_Setup'!B13,IF(D24="Frilans Finans",'01_Setup'!B10,0)))))</f>
        <v/>
      </c>
      <c r="G24" s="16">
        <f>IF(E24="","",E24*F24)</f>
        <v/>
      </c>
      <c r="H24" s="16">
        <f>IF(E24="","",E24-G24)</f>
        <v/>
      </c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8" t="n"/>
      <c r="F25" s="17">
        <f>IF(D25="","",IF(D25="Fiverr",'01_Setup'!B11,IF(D25="Gumroad",'01_Setup'!B12,IF(D25="Payhip",'01_Setup'!B13,IF(D25="Frilans Finans",'01_Setup'!B10,0)))))</f>
        <v/>
      </c>
      <c r="G25" s="16">
        <f>IF(E25="","",E25*F25)</f>
        <v/>
      </c>
      <c r="H25" s="16">
        <f>IF(E25="","",E25-G25)</f>
        <v/>
      </c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8" t="n"/>
      <c r="F26" s="17">
        <f>IF(D26="","",IF(D26="Fiverr",'01_Setup'!B11,IF(D26="Gumroad",'01_Setup'!B12,IF(D26="Payhip",'01_Setup'!B13,IF(D26="Frilans Finans",'01_Setup'!B10,0)))))</f>
        <v/>
      </c>
      <c r="G26" s="16">
        <f>IF(E26="","",E26*F26)</f>
        <v/>
      </c>
      <c r="H26" s="16">
        <f>IF(E26="","",E26-G26)</f>
        <v/>
      </c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8" t="n"/>
      <c r="F27" s="17">
        <f>IF(D27="","",IF(D27="Fiverr",'01_Setup'!B11,IF(D27="Gumroad",'01_Setup'!B12,IF(D27="Payhip",'01_Setup'!B13,IF(D27="Frilans Finans",'01_Setup'!B10,0)))))</f>
        <v/>
      </c>
      <c r="G27" s="16">
        <f>IF(E27="","",E27*F27)</f>
        <v/>
      </c>
      <c r="H27" s="16">
        <f>IF(E27="","",E27-G27)</f>
        <v/>
      </c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8" t="n"/>
      <c r="F28" s="17">
        <f>IF(D28="","",IF(D28="Fiverr",'01_Setup'!B11,IF(D28="Gumroad",'01_Setup'!B12,IF(D28="Payhip",'01_Setup'!B13,IF(D28="Frilans Finans",'01_Setup'!B10,0)))))</f>
        <v/>
      </c>
      <c r="G28" s="16">
        <f>IF(E28="","",E28*F28)</f>
        <v/>
      </c>
      <c r="H28" s="16">
        <f>IF(E28="","",E28-G28)</f>
        <v/>
      </c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8" t="n"/>
      <c r="F29" s="17">
        <f>IF(D29="","",IF(D29="Fiverr",'01_Setup'!B11,IF(D29="Gumroad",'01_Setup'!B12,IF(D29="Payhip",'01_Setup'!B13,IF(D29="Frilans Finans",'01_Setup'!B10,0)))))</f>
        <v/>
      </c>
      <c r="G29" s="16">
        <f>IF(E29="","",E29*F29)</f>
        <v/>
      </c>
      <c r="H29" s="16">
        <f>IF(E29="","",E29-G29)</f>
        <v/>
      </c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8" t="n"/>
      <c r="F30" s="17">
        <f>IF(D30="","",IF(D30="Fiverr",'01_Setup'!B11,IF(D30="Gumroad",'01_Setup'!B12,IF(D30="Payhip",'01_Setup'!B13,IF(D30="Frilans Finans",'01_Setup'!B10,0)))))</f>
        <v/>
      </c>
      <c r="G30" s="16">
        <f>IF(E30="","",E30*F30)</f>
        <v/>
      </c>
      <c r="H30" s="16">
        <f>IF(E30="","",E30-G30)</f>
        <v/>
      </c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8" t="n"/>
      <c r="F31" s="17">
        <f>IF(D31="","",IF(D31="Fiverr",'01_Setup'!B11,IF(D31="Gumroad",'01_Setup'!B12,IF(D31="Payhip",'01_Setup'!B13,IF(D31="Frilans Finans",'01_Setup'!B10,0)))))</f>
        <v/>
      </c>
      <c r="G31" s="16">
        <f>IF(E31="","",E31*F31)</f>
        <v/>
      </c>
      <c r="H31" s="16">
        <f>IF(E31="","",E31-G31)</f>
        <v/>
      </c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8" t="n"/>
      <c r="F32" s="17">
        <f>IF(D32="","",IF(D32="Fiverr",'01_Setup'!B11,IF(D32="Gumroad",'01_Setup'!B12,IF(D32="Payhip",'01_Setup'!B13,IF(D32="Frilans Finans",'01_Setup'!B10,0)))))</f>
        <v/>
      </c>
      <c r="G32" s="16">
        <f>IF(E32="","",E32*F32)</f>
        <v/>
      </c>
      <c r="H32" s="16">
        <f>IF(E32="","",E32-G32)</f>
        <v/>
      </c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8" t="n"/>
      <c r="F33" s="17">
        <f>IF(D33="","",IF(D33="Fiverr",'01_Setup'!B11,IF(D33="Gumroad",'01_Setup'!B12,IF(D33="Payhip",'01_Setup'!B13,IF(D33="Frilans Finans",'01_Setup'!B10,0)))))</f>
        <v/>
      </c>
      <c r="G33" s="16">
        <f>IF(E33="","",E33*F33)</f>
        <v/>
      </c>
      <c r="H33" s="16">
        <f>IF(E33="","",E33-G33)</f>
        <v/>
      </c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8" t="n"/>
      <c r="F34" s="17">
        <f>IF(D34="","",IF(D34="Fiverr",'01_Setup'!B11,IF(D34="Gumroad",'01_Setup'!B12,IF(D34="Payhip",'01_Setup'!B13,IF(D34="Frilans Finans",'01_Setup'!B10,0)))))</f>
        <v/>
      </c>
      <c r="G34" s="16">
        <f>IF(E34="","",E34*F34)</f>
        <v/>
      </c>
      <c r="H34" s="16">
        <f>IF(E34="","",E34-G34)</f>
        <v/>
      </c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8" t="n"/>
      <c r="F35" s="17">
        <f>IF(D35="","",IF(D35="Fiverr",'01_Setup'!B11,IF(D35="Gumroad",'01_Setup'!B12,IF(D35="Payhip",'01_Setup'!B13,IF(D35="Frilans Finans",'01_Setup'!B10,0)))))</f>
        <v/>
      </c>
      <c r="G35" s="16">
        <f>IF(E35="","",E35*F35)</f>
        <v/>
      </c>
      <c r="H35" s="16">
        <f>IF(E35="","",E35-G35)</f>
        <v/>
      </c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8" t="n"/>
      <c r="F36" s="17">
        <f>IF(D36="","",IF(D36="Fiverr",'01_Setup'!B11,IF(D36="Gumroad",'01_Setup'!B12,IF(D36="Payhip",'01_Setup'!B13,IF(D36="Frilans Finans",'01_Setup'!B10,0)))))</f>
        <v/>
      </c>
      <c r="G36" s="16">
        <f>IF(E36="","",E36*F36)</f>
        <v/>
      </c>
      <c r="H36" s="16">
        <f>IF(E36="","",E36-G36)</f>
        <v/>
      </c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8" t="n"/>
      <c r="F37" s="17">
        <f>IF(D37="","",IF(D37="Fiverr",'01_Setup'!B11,IF(D37="Gumroad",'01_Setup'!B12,IF(D37="Payhip",'01_Setup'!B13,IF(D37="Frilans Finans",'01_Setup'!B10,0)))))</f>
        <v/>
      </c>
      <c r="G37" s="16">
        <f>IF(E37="","",E37*F37)</f>
        <v/>
      </c>
      <c r="H37" s="16">
        <f>IF(E37="","",E37-G37)</f>
        <v/>
      </c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8" t="n"/>
      <c r="F38" s="17">
        <f>IF(D38="","",IF(D38="Fiverr",'01_Setup'!B11,IF(D38="Gumroad",'01_Setup'!B12,IF(D38="Payhip",'01_Setup'!B13,IF(D38="Frilans Finans",'01_Setup'!B10,0)))))</f>
        <v/>
      </c>
      <c r="G38" s="16">
        <f>IF(E38="","",E38*F38)</f>
        <v/>
      </c>
      <c r="H38" s="16">
        <f>IF(E38="","",E38-G38)</f>
        <v/>
      </c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8" t="n"/>
      <c r="F39" s="17">
        <f>IF(D39="","",IF(D39="Fiverr",'01_Setup'!B11,IF(D39="Gumroad",'01_Setup'!B12,IF(D39="Payhip",'01_Setup'!B13,IF(D39="Frilans Finans",'01_Setup'!B10,0)))))</f>
        <v/>
      </c>
      <c r="G39" s="16">
        <f>IF(E39="","",E39*F39)</f>
        <v/>
      </c>
      <c r="H39" s="16">
        <f>IF(E39="","",E39-G39)</f>
        <v/>
      </c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8" t="n"/>
      <c r="F40" s="17">
        <f>IF(D40="","",IF(D40="Fiverr",'01_Setup'!B11,IF(D40="Gumroad",'01_Setup'!B12,IF(D40="Payhip",'01_Setup'!B13,IF(D40="Frilans Finans",'01_Setup'!B10,0)))))</f>
        <v/>
      </c>
      <c r="G40" s="16">
        <f>IF(E40="","",E40*F40)</f>
        <v/>
      </c>
      <c r="H40" s="16">
        <f>IF(E40="","",E40-G40)</f>
        <v/>
      </c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8" t="n"/>
      <c r="F41" s="17">
        <f>IF(D41="","",IF(D41="Fiverr",'01_Setup'!B11,IF(D41="Gumroad",'01_Setup'!B12,IF(D41="Payhip",'01_Setup'!B13,IF(D41="Frilans Finans",'01_Setup'!B10,0)))))</f>
        <v/>
      </c>
      <c r="G41" s="16">
        <f>IF(E41="","",E41*F41)</f>
        <v/>
      </c>
      <c r="H41" s="16">
        <f>IF(E41="","",E41-G41)</f>
        <v/>
      </c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8" t="n"/>
      <c r="F42" s="17">
        <f>IF(D42="","",IF(D42="Fiverr",'01_Setup'!B11,IF(D42="Gumroad",'01_Setup'!B12,IF(D42="Payhip",'01_Setup'!B13,IF(D42="Frilans Finans",'01_Setup'!B10,0)))))</f>
        <v/>
      </c>
      <c r="G42" s="16">
        <f>IF(E42="","",E42*F42)</f>
        <v/>
      </c>
      <c r="H42" s="16">
        <f>IF(E42="","",E42-G42)</f>
        <v/>
      </c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8" t="n"/>
      <c r="F43" s="17">
        <f>IF(D43="","",IF(D43="Fiverr",'01_Setup'!B11,IF(D43="Gumroad",'01_Setup'!B12,IF(D43="Payhip",'01_Setup'!B13,IF(D43="Frilans Finans",'01_Setup'!B10,0)))))</f>
        <v/>
      </c>
      <c r="G43" s="16">
        <f>IF(E43="","",E43*F43)</f>
        <v/>
      </c>
      <c r="H43" s="16">
        <f>IF(E43="","",E43-G43)</f>
        <v/>
      </c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8" t="n"/>
      <c r="F44" s="17">
        <f>IF(D44="","",IF(D44="Fiverr",'01_Setup'!B11,IF(D44="Gumroad",'01_Setup'!B12,IF(D44="Payhip",'01_Setup'!B13,IF(D44="Frilans Finans",'01_Setup'!B10,0)))))</f>
        <v/>
      </c>
      <c r="G44" s="16">
        <f>IF(E44="","",E44*F44)</f>
        <v/>
      </c>
      <c r="H44" s="16">
        <f>IF(E44="","",E44-G44)</f>
        <v/>
      </c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8" t="n"/>
      <c r="F45" s="17">
        <f>IF(D45="","",IF(D45="Fiverr",'01_Setup'!B11,IF(D45="Gumroad",'01_Setup'!B12,IF(D45="Payhip",'01_Setup'!B13,IF(D45="Frilans Finans",'01_Setup'!B10,0)))))</f>
        <v/>
      </c>
      <c r="G45" s="16">
        <f>IF(E45="","",E45*F45)</f>
        <v/>
      </c>
      <c r="H45" s="16">
        <f>IF(E45="","",E45-G45)</f>
        <v/>
      </c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8" t="n"/>
      <c r="F46" s="17">
        <f>IF(D46="","",IF(D46="Fiverr",'01_Setup'!B11,IF(D46="Gumroad",'01_Setup'!B12,IF(D46="Payhip",'01_Setup'!B13,IF(D46="Frilans Finans",'01_Setup'!B10,0)))))</f>
        <v/>
      </c>
      <c r="G46" s="16">
        <f>IF(E46="","",E46*F46)</f>
        <v/>
      </c>
      <c r="H46" s="16">
        <f>IF(E46="","",E46-G46)</f>
        <v/>
      </c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8" t="n"/>
      <c r="F47" s="17">
        <f>IF(D47="","",IF(D47="Fiverr",'01_Setup'!B11,IF(D47="Gumroad",'01_Setup'!B12,IF(D47="Payhip",'01_Setup'!B13,IF(D47="Frilans Finans",'01_Setup'!B10,0)))))</f>
        <v/>
      </c>
      <c r="G47" s="16">
        <f>IF(E47="","",E47*F47)</f>
        <v/>
      </c>
      <c r="H47" s="16">
        <f>IF(E47="","",E47-G47)</f>
        <v/>
      </c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8" t="n"/>
      <c r="F48" s="17">
        <f>IF(D48="","",IF(D48="Fiverr",'01_Setup'!B11,IF(D48="Gumroad",'01_Setup'!B12,IF(D48="Payhip",'01_Setup'!B13,IF(D48="Frilans Finans",'01_Setup'!B10,0)))))</f>
        <v/>
      </c>
      <c r="G48" s="16">
        <f>IF(E48="","",E48*F48)</f>
        <v/>
      </c>
      <c r="H48" s="16">
        <f>IF(E48="","",E48-G48)</f>
        <v/>
      </c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8" t="n"/>
      <c r="F49" s="17">
        <f>IF(D49="","",IF(D49="Fiverr",'01_Setup'!B11,IF(D49="Gumroad",'01_Setup'!B12,IF(D49="Payhip",'01_Setup'!B13,IF(D49="Frilans Finans",'01_Setup'!B10,0)))))</f>
        <v/>
      </c>
      <c r="G49" s="16">
        <f>IF(E49="","",E49*F49)</f>
        <v/>
      </c>
      <c r="H49" s="16">
        <f>IF(E49="","",E49-G49)</f>
        <v/>
      </c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8" t="n"/>
      <c r="F50" s="17">
        <f>IF(D50="","",IF(D50="Fiverr",'01_Setup'!B11,IF(D50="Gumroad",'01_Setup'!B12,IF(D50="Payhip",'01_Setup'!B13,IF(D50="Frilans Finans",'01_Setup'!B10,0)))))</f>
        <v/>
      </c>
      <c r="G50" s="16">
        <f>IF(E50="","",E50*F50)</f>
        <v/>
      </c>
      <c r="H50" s="16">
        <f>IF(E50="","",E50-G50)</f>
        <v/>
      </c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8" t="n"/>
      <c r="F51" s="17">
        <f>IF(D51="","",IF(D51="Fiverr",'01_Setup'!B11,IF(D51="Gumroad",'01_Setup'!B12,IF(D51="Payhip",'01_Setup'!B13,IF(D51="Frilans Finans",'01_Setup'!B10,0)))))</f>
        <v/>
      </c>
      <c r="G51" s="16">
        <f>IF(E51="","",E51*F51)</f>
        <v/>
      </c>
      <c r="H51" s="16">
        <f>IF(E51="","",E51-G51)</f>
        <v/>
      </c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8" t="n"/>
      <c r="F52" s="17">
        <f>IF(D52="","",IF(D52="Fiverr",'01_Setup'!B11,IF(D52="Gumroad",'01_Setup'!B12,IF(D52="Payhip",'01_Setup'!B13,IF(D52="Frilans Finans",'01_Setup'!B10,0)))))</f>
        <v/>
      </c>
      <c r="G52" s="16">
        <f>IF(E52="","",E52*F52)</f>
        <v/>
      </c>
      <c r="H52" s="16">
        <f>IF(E52="","",E52-G52)</f>
        <v/>
      </c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8" t="n"/>
      <c r="F53" s="17">
        <f>IF(D53="","",IF(D53="Fiverr",'01_Setup'!B11,IF(D53="Gumroad",'01_Setup'!B12,IF(D53="Payhip",'01_Setup'!B13,IF(D53="Frilans Finans",'01_Setup'!B10,0)))))</f>
        <v/>
      </c>
      <c r="G53" s="16">
        <f>IF(E53="","",E53*F53)</f>
        <v/>
      </c>
      <c r="H53" s="16">
        <f>IF(E53="","",E53-G53)</f>
        <v/>
      </c>
      <c r="I53" s="6" t="n"/>
      <c r="J53" s="6" t="n"/>
      <c r="K53" s="6" t="n"/>
      <c r="L53" s="6" t="n"/>
    </row>
    <row r="55">
      <c r="A55" t="inlineStr">
        <is>
          <t>Totals</t>
        </is>
      </c>
      <c r="E55" s="20">
        <f>SUMIF(I4:I53,"Settled",E4:E53)</f>
        <v/>
      </c>
      <c r="G55" s="20">
        <f>SUMIF(I4:I53,"Settled",G4:G53)</f>
        <v/>
      </c>
      <c r="H55" s="20">
        <f>SUMIF(I4:I53,"Settled",H4:H53)</f>
        <v/>
      </c>
    </row>
    <row r="56">
      <c r="A56" t="inlineStr">
        <is>
          <t>Pending net</t>
        </is>
      </c>
      <c r="H56" s="20">
        <f>SUMIF(I4:I53,"Pending",H4:H53)</f>
        <v/>
      </c>
    </row>
  </sheetData>
  <mergeCells count="1">
    <mergeCell ref="A1:L1"/>
  </mergeCells>
  <dataValidations count="2">
    <dataValidation sqref="D4:D53" showDropDown="0" showInputMessage="0" showErrorMessage="0" allowBlank="1" type="list">
      <formula1>"Direktkund,Frilans Finans,Fiverr,Gumroad,Payhip,Etsy,Annat"</formula1>
    </dataValidation>
    <dataValidation sqref="I4:I53" showDropDown="0" showInputMessage="0" showErrorMessage="0" allowBlank="1" type="list">
      <formula1>"Pending,Settled,Refunded,Lost"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14" customWidth="1" min="4" max="4"/>
    <col width="12" customWidth="1" min="5" max="5"/>
    <col width="12" customWidth="1" min="6" max="6"/>
    <col width="16" customWidth="1" min="7" max="7"/>
    <col width="24" customWidth="1" min="8" max="8"/>
  </cols>
  <sheetData>
    <row r="1" ht="28" customHeight="1">
      <c r="A1" s="1" t="inlineStr">
        <is>
          <t>Expense log — every budget hit</t>
        </is>
      </c>
    </row>
    <row r="3">
      <c r="A3" s="2" t="inlineStr">
        <is>
          <t>Date</t>
        </is>
      </c>
      <c r="B3" s="2" t="inlineStr">
        <is>
          <t>Vendor</t>
        </is>
      </c>
      <c r="C3" s="2" t="inlineStr">
        <is>
          <t>Description</t>
        </is>
      </c>
      <c r="D3" s="2" t="inlineStr">
        <is>
          <t>Category</t>
        </is>
      </c>
      <c r="E3" s="2" t="inlineStr">
        <is>
          <t>Amount SEK</t>
        </is>
      </c>
      <c r="F3" s="2" t="inlineStr">
        <is>
          <t>Status</t>
        </is>
      </c>
      <c r="G3" s="2" t="inlineStr">
        <is>
          <t>Evidence</t>
        </is>
      </c>
      <c r="H3" s="2" t="inlineStr">
        <is>
          <t>Notes</t>
        </is>
      </c>
    </row>
    <row r="4">
      <c r="A4" s="6" t="n"/>
      <c r="B4" s="6" t="n"/>
      <c r="C4" s="6" t="n"/>
      <c r="D4" s="6" t="n"/>
      <c r="E4" s="8" t="n"/>
      <c r="F4" s="6" t="n"/>
      <c r="G4" s="6" t="n"/>
      <c r="H4" s="6" t="n"/>
    </row>
    <row r="5">
      <c r="A5" s="6" t="n"/>
      <c r="B5" s="6" t="n"/>
      <c r="C5" s="6" t="n"/>
      <c r="D5" s="6" t="n"/>
      <c r="E5" s="8" t="n"/>
      <c r="F5" s="6" t="n"/>
      <c r="G5" s="6" t="n"/>
      <c r="H5" s="6" t="n"/>
    </row>
    <row r="6">
      <c r="A6" s="6" t="n"/>
      <c r="B6" s="6" t="n"/>
      <c r="C6" s="6" t="n"/>
      <c r="D6" s="6" t="n"/>
      <c r="E6" s="8" t="n"/>
      <c r="F6" s="6" t="n"/>
      <c r="G6" s="6" t="n"/>
      <c r="H6" s="6" t="n"/>
    </row>
    <row r="7">
      <c r="A7" s="6" t="n"/>
      <c r="B7" s="6" t="n"/>
      <c r="C7" s="6" t="n"/>
      <c r="D7" s="6" t="n"/>
      <c r="E7" s="8" t="n"/>
      <c r="F7" s="6" t="n"/>
      <c r="G7" s="6" t="n"/>
      <c r="H7" s="6" t="n"/>
    </row>
    <row r="8">
      <c r="A8" s="6" t="n"/>
      <c r="B8" s="6" t="n"/>
      <c r="C8" s="6" t="n"/>
      <c r="D8" s="6" t="n"/>
      <c r="E8" s="8" t="n"/>
      <c r="F8" s="6" t="n"/>
      <c r="G8" s="6" t="n"/>
      <c r="H8" s="6" t="n"/>
    </row>
    <row r="9">
      <c r="A9" s="6" t="n"/>
      <c r="B9" s="6" t="n"/>
      <c r="C9" s="6" t="n"/>
      <c r="D9" s="6" t="n"/>
      <c r="E9" s="8" t="n"/>
      <c r="F9" s="6" t="n"/>
      <c r="G9" s="6" t="n"/>
      <c r="H9" s="6" t="n"/>
    </row>
    <row r="10">
      <c r="A10" s="6" t="n"/>
      <c r="B10" s="6" t="n"/>
      <c r="C10" s="6" t="n"/>
      <c r="D10" s="6" t="n"/>
      <c r="E10" s="8" t="n"/>
      <c r="F10" s="6" t="n"/>
      <c r="G10" s="6" t="n"/>
      <c r="H10" s="6" t="n"/>
    </row>
    <row r="11">
      <c r="A11" s="6" t="n"/>
      <c r="B11" s="6" t="n"/>
      <c r="C11" s="6" t="n"/>
      <c r="D11" s="6" t="n"/>
      <c r="E11" s="8" t="n"/>
      <c r="F11" s="6" t="n"/>
      <c r="G11" s="6" t="n"/>
      <c r="H11" s="6" t="n"/>
    </row>
    <row r="12">
      <c r="A12" s="6" t="n"/>
      <c r="B12" s="6" t="n"/>
      <c r="C12" s="6" t="n"/>
      <c r="D12" s="6" t="n"/>
      <c r="E12" s="8" t="n"/>
      <c r="F12" s="6" t="n"/>
      <c r="G12" s="6" t="n"/>
      <c r="H12" s="6" t="n"/>
    </row>
    <row r="13">
      <c r="A13" s="6" t="n"/>
      <c r="B13" s="6" t="n"/>
      <c r="C13" s="6" t="n"/>
      <c r="D13" s="6" t="n"/>
      <c r="E13" s="8" t="n"/>
      <c r="F13" s="6" t="n"/>
      <c r="G13" s="6" t="n"/>
      <c r="H13" s="6" t="n"/>
    </row>
    <row r="14">
      <c r="A14" s="6" t="n"/>
      <c r="B14" s="6" t="n"/>
      <c r="C14" s="6" t="n"/>
      <c r="D14" s="6" t="n"/>
      <c r="E14" s="8" t="n"/>
      <c r="F14" s="6" t="n"/>
      <c r="G14" s="6" t="n"/>
      <c r="H14" s="6" t="n"/>
    </row>
    <row r="15">
      <c r="A15" s="6" t="n"/>
      <c r="B15" s="6" t="n"/>
      <c r="C15" s="6" t="n"/>
      <c r="D15" s="6" t="n"/>
      <c r="E15" s="8" t="n"/>
      <c r="F15" s="6" t="n"/>
      <c r="G15" s="6" t="n"/>
      <c r="H15" s="6" t="n"/>
    </row>
    <row r="16">
      <c r="A16" s="6" t="n"/>
      <c r="B16" s="6" t="n"/>
      <c r="C16" s="6" t="n"/>
      <c r="D16" s="6" t="n"/>
      <c r="E16" s="8" t="n"/>
      <c r="F16" s="6" t="n"/>
      <c r="G16" s="6" t="n"/>
      <c r="H16" s="6" t="n"/>
    </row>
    <row r="17">
      <c r="A17" s="6" t="n"/>
      <c r="B17" s="6" t="n"/>
      <c r="C17" s="6" t="n"/>
      <c r="D17" s="6" t="n"/>
      <c r="E17" s="8" t="n"/>
      <c r="F17" s="6" t="n"/>
      <c r="G17" s="6" t="n"/>
      <c r="H17" s="6" t="n"/>
    </row>
    <row r="18">
      <c r="A18" s="6" t="n"/>
      <c r="B18" s="6" t="n"/>
      <c r="C18" s="6" t="n"/>
      <c r="D18" s="6" t="n"/>
      <c r="E18" s="8" t="n"/>
      <c r="F18" s="6" t="n"/>
      <c r="G18" s="6" t="n"/>
      <c r="H18" s="6" t="n"/>
    </row>
    <row r="19">
      <c r="A19" s="6" t="n"/>
      <c r="B19" s="6" t="n"/>
      <c r="C19" s="6" t="n"/>
      <c r="D19" s="6" t="n"/>
      <c r="E19" s="8" t="n"/>
      <c r="F19" s="6" t="n"/>
      <c r="G19" s="6" t="n"/>
      <c r="H19" s="6" t="n"/>
    </row>
    <row r="20">
      <c r="A20" s="6" t="n"/>
      <c r="B20" s="6" t="n"/>
      <c r="C20" s="6" t="n"/>
      <c r="D20" s="6" t="n"/>
      <c r="E20" s="8" t="n"/>
      <c r="F20" s="6" t="n"/>
      <c r="G20" s="6" t="n"/>
      <c r="H20" s="6" t="n"/>
    </row>
    <row r="21">
      <c r="A21" s="6" t="n"/>
      <c r="B21" s="6" t="n"/>
      <c r="C21" s="6" t="n"/>
      <c r="D21" s="6" t="n"/>
      <c r="E21" s="8" t="n"/>
      <c r="F21" s="6" t="n"/>
      <c r="G21" s="6" t="n"/>
      <c r="H21" s="6" t="n"/>
    </row>
    <row r="22">
      <c r="A22" s="6" t="n"/>
      <c r="B22" s="6" t="n"/>
      <c r="C22" s="6" t="n"/>
      <c r="D22" s="6" t="n"/>
      <c r="E22" s="8" t="n"/>
      <c r="F22" s="6" t="n"/>
      <c r="G22" s="6" t="n"/>
      <c r="H22" s="6" t="n"/>
    </row>
    <row r="23">
      <c r="A23" s="6" t="n"/>
      <c r="B23" s="6" t="n"/>
      <c r="C23" s="6" t="n"/>
      <c r="D23" s="6" t="n"/>
      <c r="E23" s="8" t="n"/>
      <c r="F23" s="6" t="n"/>
      <c r="G23" s="6" t="n"/>
      <c r="H23" s="6" t="n"/>
    </row>
    <row r="24">
      <c r="A24" s="6" t="n"/>
      <c r="B24" s="6" t="n"/>
      <c r="C24" s="6" t="n"/>
      <c r="D24" s="6" t="n"/>
      <c r="E24" s="8" t="n"/>
      <c r="F24" s="6" t="n"/>
      <c r="G24" s="6" t="n"/>
      <c r="H24" s="6" t="n"/>
    </row>
    <row r="25">
      <c r="A25" s="6" t="n"/>
      <c r="B25" s="6" t="n"/>
      <c r="C25" s="6" t="n"/>
      <c r="D25" s="6" t="n"/>
      <c r="E25" s="8" t="n"/>
      <c r="F25" s="6" t="n"/>
      <c r="G25" s="6" t="n"/>
      <c r="H25" s="6" t="n"/>
    </row>
    <row r="26">
      <c r="A26" s="6" t="n"/>
      <c r="B26" s="6" t="n"/>
      <c r="C26" s="6" t="n"/>
      <c r="D26" s="6" t="n"/>
      <c r="E26" s="8" t="n"/>
      <c r="F26" s="6" t="n"/>
      <c r="G26" s="6" t="n"/>
      <c r="H26" s="6" t="n"/>
    </row>
    <row r="27">
      <c r="A27" s="6" t="n"/>
      <c r="B27" s="6" t="n"/>
      <c r="C27" s="6" t="n"/>
      <c r="D27" s="6" t="n"/>
      <c r="E27" s="8" t="n"/>
      <c r="F27" s="6" t="n"/>
      <c r="G27" s="6" t="n"/>
      <c r="H27" s="6" t="n"/>
    </row>
    <row r="28">
      <c r="A28" s="6" t="n"/>
      <c r="B28" s="6" t="n"/>
      <c r="C28" s="6" t="n"/>
      <c r="D28" s="6" t="n"/>
      <c r="E28" s="8" t="n"/>
      <c r="F28" s="6" t="n"/>
      <c r="G28" s="6" t="n"/>
      <c r="H28" s="6" t="n"/>
    </row>
    <row r="29">
      <c r="A29" s="6" t="n"/>
      <c r="B29" s="6" t="n"/>
      <c r="C29" s="6" t="n"/>
      <c r="D29" s="6" t="n"/>
      <c r="E29" s="8" t="n"/>
      <c r="F29" s="6" t="n"/>
      <c r="G29" s="6" t="n"/>
      <c r="H29" s="6" t="n"/>
    </row>
    <row r="30">
      <c r="A30" s="6" t="n"/>
      <c r="B30" s="6" t="n"/>
      <c r="C30" s="6" t="n"/>
      <c r="D30" s="6" t="n"/>
      <c r="E30" s="8" t="n"/>
      <c r="F30" s="6" t="n"/>
      <c r="G30" s="6" t="n"/>
      <c r="H30" s="6" t="n"/>
    </row>
    <row r="31">
      <c r="A31" s="6" t="n"/>
      <c r="B31" s="6" t="n"/>
      <c r="C31" s="6" t="n"/>
      <c r="D31" s="6" t="n"/>
      <c r="E31" s="8" t="n"/>
      <c r="F31" s="6" t="n"/>
      <c r="G31" s="6" t="n"/>
      <c r="H31" s="6" t="n"/>
    </row>
    <row r="32">
      <c r="A32" s="6" t="n"/>
      <c r="B32" s="6" t="n"/>
      <c r="C32" s="6" t="n"/>
      <c r="D32" s="6" t="n"/>
      <c r="E32" s="8" t="n"/>
      <c r="F32" s="6" t="n"/>
      <c r="G32" s="6" t="n"/>
      <c r="H32" s="6" t="n"/>
    </row>
    <row r="33">
      <c r="A33" s="6" t="n"/>
      <c r="B33" s="6" t="n"/>
      <c r="C33" s="6" t="n"/>
      <c r="D33" s="6" t="n"/>
      <c r="E33" s="8" t="n"/>
      <c r="F33" s="6" t="n"/>
      <c r="G33" s="6" t="n"/>
      <c r="H33" s="6" t="n"/>
    </row>
    <row r="34">
      <c r="A34" s="6" t="n"/>
      <c r="B34" s="6" t="n"/>
      <c r="C34" s="6" t="n"/>
      <c r="D34" s="6" t="n"/>
      <c r="E34" s="8" t="n"/>
      <c r="F34" s="6" t="n"/>
      <c r="G34" s="6" t="n"/>
      <c r="H34" s="6" t="n"/>
    </row>
    <row r="35">
      <c r="A35" s="6" t="n"/>
      <c r="B35" s="6" t="n"/>
      <c r="C35" s="6" t="n"/>
      <c r="D35" s="6" t="n"/>
      <c r="E35" s="8" t="n"/>
      <c r="F35" s="6" t="n"/>
      <c r="G35" s="6" t="n"/>
      <c r="H35" s="6" t="n"/>
    </row>
    <row r="36">
      <c r="A36" s="6" t="n"/>
      <c r="B36" s="6" t="n"/>
      <c r="C36" s="6" t="n"/>
      <c r="D36" s="6" t="n"/>
      <c r="E36" s="8" t="n"/>
      <c r="F36" s="6" t="n"/>
      <c r="G36" s="6" t="n"/>
      <c r="H36" s="6" t="n"/>
    </row>
    <row r="37">
      <c r="A37" s="6" t="n"/>
      <c r="B37" s="6" t="n"/>
      <c r="C37" s="6" t="n"/>
      <c r="D37" s="6" t="n"/>
      <c r="E37" s="8" t="n"/>
      <c r="F37" s="6" t="n"/>
      <c r="G37" s="6" t="n"/>
      <c r="H37" s="6" t="n"/>
    </row>
    <row r="38">
      <c r="A38" s="6" t="n"/>
      <c r="B38" s="6" t="n"/>
      <c r="C38" s="6" t="n"/>
      <c r="D38" s="6" t="n"/>
      <c r="E38" s="8" t="n"/>
      <c r="F38" s="6" t="n"/>
      <c r="G38" s="6" t="n"/>
      <c r="H38" s="6" t="n"/>
    </row>
    <row r="39">
      <c r="A39" s="6" t="n"/>
      <c r="B39" s="6" t="n"/>
      <c r="C39" s="6" t="n"/>
      <c r="D39" s="6" t="n"/>
      <c r="E39" s="8" t="n"/>
      <c r="F39" s="6" t="n"/>
      <c r="G39" s="6" t="n"/>
      <c r="H39" s="6" t="n"/>
    </row>
    <row r="40">
      <c r="A40" s="6" t="n"/>
      <c r="B40" s="6" t="n"/>
      <c r="C40" s="6" t="n"/>
      <c r="D40" s="6" t="n"/>
      <c r="E40" s="8" t="n"/>
      <c r="F40" s="6" t="n"/>
      <c r="G40" s="6" t="n"/>
      <c r="H40" s="6" t="n"/>
    </row>
    <row r="41">
      <c r="A41" s="6" t="n"/>
      <c r="B41" s="6" t="n"/>
      <c r="C41" s="6" t="n"/>
      <c r="D41" s="6" t="n"/>
      <c r="E41" s="8" t="n"/>
      <c r="F41" s="6" t="n"/>
      <c r="G41" s="6" t="n"/>
      <c r="H41" s="6" t="n"/>
    </row>
    <row r="42">
      <c r="A42" s="6" t="n"/>
      <c r="B42" s="6" t="n"/>
      <c r="C42" s="6" t="n"/>
      <c r="D42" s="6" t="n"/>
      <c r="E42" s="8" t="n"/>
      <c r="F42" s="6" t="n"/>
      <c r="G42" s="6" t="n"/>
      <c r="H42" s="6" t="n"/>
    </row>
    <row r="43">
      <c r="A43" s="6" t="n"/>
      <c r="B43" s="6" t="n"/>
      <c r="C43" s="6" t="n"/>
      <c r="D43" s="6" t="n"/>
      <c r="E43" s="8" t="n"/>
      <c r="F43" s="6" t="n"/>
      <c r="G43" s="6" t="n"/>
      <c r="H43" s="6" t="n"/>
    </row>
    <row r="44">
      <c r="A44" s="6" t="n"/>
      <c r="B44" s="6" t="n"/>
      <c r="C44" s="6" t="n"/>
      <c r="D44" s="6" t="n"/>
      <c r="E44" s="8" t="n"/>
      <c r="F44" s="6" t="n"/>
      <c r="G44" s="6" t="n"/>
      <c r="H44" s="6" t="n"/>
    </row>
    <row r="45">
      <c r="A45" s="6" t="n"/>
      <c r="B45" s="6" t="n"/>
      <c r="C45" s="6" t="n"/>
      <c r="D45" s="6" t="n"/>
      <c r="E45" s="8" t="n"/>
      <c r="F45" s="6" t="n"/>
      <c r="G45" s="6" t="n"/>
      <c r="H45" s="6" t="n"/>
    </row>
    <row r="46">
      <c r="A46" s="6" t="n"/>
      <c r="B46" s="6" t="n"/>
      <c r="C46" s="6" t="n"/>
      <c r="D46" s="6" t="n"/>
      <c r="E46" s="8" t="n"/>
      <c r="F46" s="6" t="n"/>
      <c r="G46" s="6" t="n"/>
      <c r="H46" s="6" t="n"/>
    </row>
    <row r="47">
      <c r="A47" s="6" t="n"/>
      <c r="B47" s="6" t="n"/>
      <c r="C47" s="6" t="n"/>
      <c r="D47" s="6" t="n"/>
      <c r="E47" s="8" t="n"/>
      <c r="F47" s="6" t="n"/>
      <c r="G47" s="6" t="n"/>
      <c r="H47" s="6" t="n"/>
    </row>
    <row r="48">
      <c r="A48" s="6" t="n"/>
      <c r="B48" s="6" t="n"/>
      <c r="C48" s="6" t="n"/>
      <c r="D48" s="6" t="n"/>
      <c r="E48" s="8" t="n"/>
      <c r="F48" s="6" t="n"/>
      <c r="G48" s="6" t="n"/>
      <c r="H48" s="6" t="n"/>
    </row>
    <row r="49">
      <c r="A49" s="6" t="n"/>
      <c r="B49" s="6" t="n"/>
      <c r="C49" s="6" t="n"/>
      <c r="D49" s="6" t="n"/>
      <c r="E49" s="8" t="n"/>
      <c r="F49" s="6" t="n"/>
      <c r="G49" s="6" t="n"/>
      <c r="H49" s="6" t="n"/>
    </row>
    <row r="50">
      <c r="A50" s="6" t="n"/>
      <c r="B50" s="6" t="n"/>
      <c r="C50" s="6" t="n"/>
      <c r="D50" s="6" t="n"/>
      <c r="E50" s="8" t="n"/>
      <c r="F50" s="6" t="n"/>
      <c r="G50" s="6" t="n"/>
      <c r="H50" s="6" t="n"/>
    </row>
    <row r="51">
      <c r="A51" s="6" t="n"/>
      <c r="B51" s="6" t="n"/>
      <c r="C51" s="6" t="n"/>
      <c r="D51" s="6" t="n"/>
      <c r="E51" s="8" t="n"/>
      <c r="F51" s="6" t="n"/>
      <c r="G51" s="6" t="n"/>
      <c r="H51" s="6" t="n"/>
    </row>
    <row r="52">
      <c r="A52" s="6" t="n"/>
      <c r="B52" s="6" t="n"/>
      <c r="C52" s="6" t="n"/>
      <c r="D52" s="6" t="n"/>
      <c r="E52" s="8" t="n"/>
      <c r="F52" s="6" t="n"/>
      <c r="G52" s="6" t="n"/>
      <c r="H52" s="6" t="n"/>
    </row>
    <row r="53">
      <c r="A53" s="6" t="n"/>
      <c r="B53" s="6" t="n"/>
      <c r="C53" s="6" t="n"/>
      <c r="D53" s="6" t="n"/>
      <c r="E53" s="8" t="n"/>
      <c r="F53" s="6" t="n"/>
      <c r="G53" s="6" t="n"/>
      <c r="H53" s="6" t="n"/>
    </row>
    <row r="55">
      <c r="A55" t="inlineStr">
        <is>
          <t>Paid total</t>
        </is>
      </c>
      <c r="E55" s="20">
        <f>SUMIF(F4:F53,"Paid",E4:E53)</f>
        <v/>
      </c>
    </row>
  </sheetData>
  <mergeCells count="1">
    <mergeCell ref="A1:H1"/>
  </mergeCells>
  <dataValidations count="2">
    <dataValidation sqref="D4:D53" showDropDown="0" showInputMessage="0" showErrorMessage="0" allowBlank="1" type="list">
      <formula1>"Software,Ads,Domain,Fees,Materials,Other"</formula1>
    </dataValidation>
    <dataValidation sqref="F4:F53" showDropDown="0" showInputMessage="0" showErrorMessage="0" allowBlank="1" type="list">
      <formula1>"Planned,Paid,Refunded"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</cols>
  <sheetData>
    <row r="1" ht="28" customHeight="1">
      <c r="A1" s="1" t="inlineStr">
        <is>
          <t>30-day cashflow planner</t>
        </is>
      </c>
    </row>
    <row r="3">
      <c r="A3" s="11" t="inlineStr">
        <is>
          <t>Day</t>
        </is>
      </c>
      <c r="B3" s="11" t="inlineStr">
        <is>
          <t>Date</t>
        </is>
      </c>
      <c r="C3" s="11" t="inlineStr">
        <is>
          <t>Inflows SEK</t>
        </is>
      </c>
      <c r="D3" s="11" t="inlineStr">
        <is>
          <t>Outflows SEK</t>
        </is>
      </c>
      <c r="E3" s="11" t="inlineStr">
        <is>
          <t>Net SEK</t>
        </is>
      </c>
      <c r="F3" s="11" t="inlineStr">
        <is>
          <t>Running balance</t>
        </is>
      </c>
    </row>
    <row r="4">
      <c r="A4" s="12" t="n">
        <v>0</v>
      </c>
      <c r="B4" s="12" t="inlineStr">
        <is>
          <t>Start</t>
        </is>
      </c>
      <c r="C4" s="21" t="n">
        <v>0</v>
      </c>
      <c r="D4" s="21" t="n">
        <v>0</v>
      </c>
      <c r="E4" s="21">
        <f>C4-D4</f>
        <v/>
      </c>
      <c r="F4" s="21">
        <f>'01_Setup'!B16+E4</f>
        <v/>
      </c>
    </row>
    <row r="5">
      <c r="A5" s="12" t="n">
        <v>1</v>
      </c>
      <c r="B5" s="6">
        <f>IF(B4="Start","",B4)</f>
        <v/>
      </c>
      <c r="C5" s="8" t="n"/>
      <c r="D5" s="8" t="n"/>
      <c r="E5" s="16">
        <f>C5-D5</f>
        <v/>
      </c>
      <c r="F5" s="16">
        <f>F4+E5</f>
        <v/>
      </c>
    </row>
    <row r="6">
      <c r="A6" s="12" t="n">
        <v>2</v>
      </c>
      <c r="B6" s="6">
        <f>IF(B4="Start","",B4)</f>
        <v/>
      </c>
      <c r="C6" s="8" t="n"/>
      <c r="D6" s="8" t="n"/>
      <c r="E6" s="16">
        <f>C6-D6</f>
        <v/>
      </c>
      <c r="F6" s="16">
        <f>F5+E6</f>
        <v/>
      </c>
    </row>
    <row r="7">
      <c r="A7" s="12" t="n">
        <v>3</v>
      </c>
      <c r="B7" s="6">
        <f>IF(B4="Start","",B4)</f>
        <v/>
      </c>
      <c r="C7" s="8" t="n"/>
      <c r="D7" s="8" t="n"/>
      <c r="E7" s="16">
        <f>C7-D7</f>
        <v/>
      </c>
      <c r="F7" s="16">
        <f>F6+E7</f>
        <v/>
      </c>
    </row>
    <row r="8">
      <c r="A8" s="12" t="n">
        <v>4</v>
      </c>
      <c r="B8" s="6">
        <f>IF(B4="Start","",B4)</f>
        <v/>
      </c>
      <c r="C8" s="8" t="n"/>
      <c r="D8" s="8" t="n"/>
      <c r="E8" s="16">
        <f>C8-D8</f>
        <v/>
      </c>
      <c r="F8" s="16">
        <f>F7+E8</f>
        <v/>
      </c>
    </row>
    <row r="9">
      <c r="A9" s="12" t="n">
        <v>5</v>
      </c>
      <c r="B9" s="6">
        <f>IF(B4="Start","",B4)</f>
        <v/>
      </c>
      <c r="C9" s="8" t="n"/>
      <c r="D9" s="8" t="n"/>
      <c r="E9" s="16">
        <f>C9-D9</f>
        <v/>
      </c>
      <c r="F9" s="16">
        <f>F8+E9</f>
        <v/>
      </c>
    </row>
    <row r="10">
      <c r="A10" s="12" t="n">
        <v>6</v>
      </c>
      <c r="B10" s="6">
        <f>IF(B4="Start","",B4)</f>
        <v/>
      </c>
      <c r="C10" s="8" t="n"/>
      <c r="D10" s="8" t="n"/>
      <c r="E10" s="16">
        <f>C10-D10</f>
        <v/>
      </c>
      <c r="F10" s="16">
        <f>F9+E10</f>
        <v/>
      </c>
    </row>
    <row r="11">
      <c r="A11" s="12" t="n">
        <v>7</v>
      </c>
      <c r="B11" s="6">
        <f>IF(B4="Start","",B4)</f>
        <v/>
      </c>
      <c r="C11" s="8" t="n"/>
      <c r="D11" s="8" t="n"/>
      <c r="E11" s="16">
        <f>C11-D11</f>
        <v/>
      </c>
      <c r="F11" s="16">
        <f>F10+E11</f>
        <v/>
      </c>
    </row>
    <row r="12">
      <c r="A12" s="12" t="n">
        <v>8</v>
      </c>
      <c r="B12" s="6">
        <f>IF(B4="Start","",B4)</f>
        <v/>
      </c>
      <c r="C12" s="8" t="n"/>
      <c r="D12" s="8" t="n"/>
      <c r="E12" s="16">
        <f>C12-D12</f>
        <v/>
      </c>
      <c r="F12" s="16">
        <f>F11+E12</f>
        <v/>
      </c>
    </row>
    <row r="13">
      <c r="A13" s="12" t="n">
        <v>9</v>
      </c>
      <c r="B13" s="6">
        <f>IF(B4="Start","",B4)</f>
        <v/>
      </c>
      <c r="C13" s="8" t="n"/>
      <c r="D13" s="8" t="n"/>
      <c r="E13" s="16">
        <f>C13-D13</f>
        <v/>
      </c>
      <c r="F13" s="16">
        <f>F12+E13</f>
        <v/>
      </c>
    </row>
    <row r="14">
      <c r="A14" s="12" t="n">
        <v>10</v>
      </c>
      <c r="B14" s="6">
        <f>IF(B4="Start","",B4)</f>
        <v/>
      </c>
      <c r="C14" s="8" t="n"/>
      <c r="D14" s="8" t="n"/>
      <c r="E14" s="16">
        <f>C14-D14</f>
        <v/>
      </c>
      <c r="F14" s="16">
        <f>F13+E14</f>
        <v/>
      </c>
    </row>
    <row r="15">
      <c r="A15" s="12" t="n">
        <v>11</v>
      </c>
      <c r="B15" s="6">
        <f>IF(B4="Start","",B4)</f>
        <v/>
      </c>
      <c r="C15" s="8" t="n"/>
      <c r="D15" s="8" t="n"/>
      <c r="E15" s="16">
        <f>C15-D15</f>
        <v/>
      </c>
      <c r="F15" s="16">
        <f>F14+E15</f>
        <v/>
      </c>
    </row>
    <row r="16">
      <c r="A16" s="12" t="n">
        <v>12</v>
      </c>
      <c r="B16" s="6">
        <f>IF(B4="Start","",B4)</f>
        <v/>
      </c>
      <c r="C16" s="8" t="n"/>
      <c r="D16" s="8" t="n"/>
      <c r="E16" s="16">
        <f>C16-D16</f>
        <v/>
      </c>
      <c r="F16" s="16">
        <f>F15+E16</f>
        <v/>
      </c>
    </row>
    <row r="17">
      <c r="A17" s="12" t="n">
        <v>13</v>
      </c>
      <c r="B17" s="6">
        <f>IF(B4="Start","",B4)</f>
        <v/>
      </c>
      <c r="C17" s="8" t="n"/>
      <c r="D17" s="8" t="n"/>
      <c r="E17" s="16">
        <f>C17-D17</f>
        <v/>
      </c>
      <c r="F17" s="16">
        <f>F16+E17</f>
        <v/>
      </c>
    </row>
    <row r="18">
      <c r="A18" s="12" t="n">
        <v>14</v>
      </c>
      <c r="B18" s="6">
        <f>IF(B4="Start","",B4)</f>
        <v/>
      </c>
      <c r="C18" s="8" t="n"/>
      <c r="D18" s="8" t="n"/>
      <c r="E18" s="16">
        <f>C18-D18</f>
        <v/>
      </c>
      <c r="F18" s="16">
        <f>F17+E18</f>
        <v/>
      </c>
    </row>
    <row r="19">
      <c r="A19" s="12" t="n">
        <v>15</v>
      </c>
      <c r="B19" s="6">
        <f>IF(B4="Start","",B4)</f>
        <v/>
      </c>
      <c r="C19" s="8" t="n"/>
      <c r="D19" s="8" t="n"/>
      <c r="E19" s="16">
        <f>C19-D19</f>
        <v/>
      </c>
      <c r="F19" s="16">
        <f>F18+E19</f>
        <v/>
      </c>
    </row>
    <row r="20">
      <c r="A20" s="12" t="n">
        <v>16</v>
      </c>
      <c r="B20" s="6">
        <f>IF(B4="Start","",B4)</f>
        <v/>
      </c>
      <c r="C20" s="8" t="n"/>
      <c r="D20" s="8" t="n"/>
      <c r="E20" s="16">
        <f>C20-D20</f>
        <v/>
      </c>
      <c r="F20" s="16">
        <f>F19+E20</f>
        <v/>
      </c>
    </row>
    <row r="21">
      <c r="A21" s="12" t="n">
        <v>17</v>
      </c>
      <c r="B21" s="6">
        <f>IF(B4="Start","",B4)</f>
        <v/>
      </c>
      <c r="C21" s="8" t="n"/>
      <c r="D21" s="8" t="n"/>
      <c r="E21" s="16">
        <f>C21-D21</f>
        <v/>
      </c>
      <c r="F21" s="16">
        <f>F20+E21</f>
        <v/>
      </c>
    </row>
    <row r="22">
      <c r="A22" s="12" t="n">
        <v>18</v>
      </c>
      <c r="B22" s="6">
        <f>IF(B4="Start","",B4)</f>
        <v/>
      </c>
      <c r="C22" s="8" t="n"/>
      <c r="D22" s="8" t="n"/>
      <c r="E22" s="16">
        <f>C22-D22</f>
        <v/>
      </c>
      <c r="F22" s="16">
        <f>F21+E22</f>
        <v/>
      </c>
    </row>
    <row r="23">
      <c r="A23" s="12" t="n">
        <v>19</v>
      </c>
      <c r="B23" s="6">
        <f>IF(B4="Start","",B4)</f>
        <v/>
      </c>
      <c r="C23" s="8" t="n"/>
      <c r="D23" s="8" t="n"/>
      <c r="E23" s="16">
        <f>C23-D23</f>
        <v/>
      </c>
      <c r="F23" s="16">
        <f>F22+E23</f>
        <v/>
      </c>
    </row>
    <row r="24">
      <c r="A24" s="12" t="n">
        <v>20</v>
      </c>
      <c r="B24" s="6">
        <f>IF(B4="Start","",B4)</f>
        <v/>
      </c>
      <c r="C24" s="8" t="n"/>
      <c r="D24" s="8" t="n"/>
      <c r="E24" s="16">
        <f>C24-D24</f>
        <v/>
      </c>
      <c r="F24" s="16">
        <f>F23+E24</f>
        <v/>
      </c>
    </row>
    <row r="25">
      <c r="A25" s="12" t="n">
        <v>21</v>
      </c>
      <c r="B25" s="6">
        <f>IF(B4="Start","",B4)</f>
        <v/>
      </c>
      <c r="C25" s="8" t="n"/>
      <c r="D25" s="8" t="n"/>
      <c r="E25" s="16">
        <f>C25-D25</f>
        <v/>
      </c>
      <c r="F25" s="16">
        <f>F24+E25</f>
        <v/>
      </c>
    </row>
    <row r="26">
      <c r="A26" s="12" t="n">
        <v>22</v>
      </c>
      <c r="B26" s="6">
        <f>IF(B4="Start","",B4)</f>
        <v/>
      </c>
      <c r="C26" s="8" t="n"/>
      <c r="D26" s="8" t="n"/>
      <c r="E26" s="16">
        <f>C26-D26</f>
        <v/>
      </c>
      <c r="F26" s="16">
        <f>F25+E26</f>
        <v/>
      </c>
    </row>
    <row r="27">
      <c r="A27" s="12" t="n">
        <v>23</v>
      </c>
      <c r="B27" s="6">
        <f>IF(B4="Start","",B4)</f>
        <v/>
      </c>
      <c r="C27" s="8" t="n"/>
      <c r="D27" s="8" t="n"/>
      <c r="E27" s="16">
        <f>C27-D27</f>
        <v/>
      </c>
      <c r="F27" s="16">
        <f>F26+E27</f>
        <v/>
      </c>
    </row>
    <row r="28">
      <c r="A28" s="12" t="n">
        <v>24</v>
      </c>
      <c r="B28" s="6">
        <f>IF(B4="Start","",B4)</f>
        <v/>
      </c>
      <c r="C28" s="8" t="n"/>
      <c r="D28" s="8" t="n"/>
      <c r="E28" s="16">
        <f>C28-D28</f>
        <v/>
      </c>
      <c r="F28" s="16">
        <f>F27+E28</f>
        <v/>
      </c>
    </row>
    <row r="29">
      <c r="A29" s="12" t="n">
        <v>25</v>
      </c>
      <c r="B29" s="6">
        <f>IF(B4="Start","",B4)</f>
        <v/>
      </c>
      <c r="C29" s="8" t="n"/>
      <c r="D29" s="8" t="n"/>
      <c r="E29" s="16">
        <f>C29-D29</f>
        <v/>
      </c>
      <c r="F29" s="16">
        <f>F28+E29</f>
        <v/>
      </c>
    </row>
    <row r="30">
      <c r="A30" s="12" t="n">
        <v>26</v>
      </c>
      <c r="B30" s="6">
        <f>IF(B4="Start","",B4)</f>
        <v/>
      </c>
      <c r="C30" s="8" t="n"/>
      <c r="D30" s="8" t="n"/>
      <c r="E30" s="16">
        <f>C30-D30</f>
        <v/>
      </c>
      <c r="F30" s="16">
        <f>F29+E30</f>
        <v/>
      </c>
    </row>
    <row r="31">
      <c r="A31" s="12" t="n">
        <v>27</v>
      </c>
      <c r="B31" s="6">
        <f>IF(B4="Start","",B4)</f>
        <v/>
      </c>
      <c r="C31" s="8" t="n"/>
      <c r="D31" s="8" t="n"/>
      <c r="E31" s="16">
        <f>C31-D31</f>
        <v/>
      </c>
      <c r="F31" s="16">
        <f>F30+E31</f>
        <v/>
      </c>
    </row>
    <row r="32">
      <c r="A32" s="12" t="n">
        <v>28</v>
      </c>
      <c r="B32" s="6">
        <f>IF(B4="Start","",B4)</f>
        <v/>
      </c>
      <c r="C32" s="8" t="n"/>
      <c r="D32" s="8" t="n"/>
      <c r="E32" s="16">
        <f>C32-D32</f>
        <v/>
      </c>
      <c r="F32" s="16">
        <f>F31+E32</f>
        <v/>
      </c>
    </row>
    <row r="33">
      <c r="A33" s="12" t="n">
        <v>29</v>
      </c>
      <c r="B33" s="6">
        <f>IF(B4="Start","",B4)</f>
        <v/>
      </c>
      <c r="C33" s="8" t="n"/>
      <c r="D33" s="8" t="n"/>
      <c r="E33" s="16">
        <f>C33-D33</f>
        <v/>
      </c>
      <c r="F33" s="16">
        <f>F32+E33</f>
        <v/>
      </c>
    </row>
    <row r="34">
      <c r="A34" s="12" t="n">
        <v>30</v>
      </c>
      <c r="B34" s="6">
        <f>IF(B4="Start","",B4)</f>
        <v/>
      </c>
      <c r="C34" s="8" t="n"/>
      <c r="D34" s="8" t="n"/>
      <c r="E34" s="16">
        <f>C34-D34</f>
        <v/>
      </c>
      <c r="F34" s="16">
        <f>F33+E34</f>
        <v/>
      </c>
    </row>
  </sheetData>
  <mergeCells count="1">
    <mergeCell ref="A1:F1"/>
  </mergeCells>
  <conditionalFormatting sqref="F4:F34">
    <cfRule type="expression" priority="1" dxfId="0">
      <formula>F4&lt;0</formula>
    </cfRule>
    <cfRule type="expression" priority="2" dxfId="1">
      <formula>F4&gt;=0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8" customWidth="1" min="4" max="4"/>
    <col width="14" customWidth="1" min="5" max="5"/>
    <col width="10" customWidth="1" min="6" max="6"/>
    <col width="12" customWidth="1" min="7" max="7"/>
    <col width="12" customWidth="1" min="8" max="8"/>
    <col width="10" customWidth="1" min="9" max="9"/>
    <col width="16" customWidth="1" min="10" max="10"/>
  </cols>
  <sheetData>
    <row r="1" ht="28" customHeight="1">
      <c r="A1" s="1" t="inlineStr">
        <is>
          <t>Invoice / offer log</t>
        </is>
      </c>
    </row>
    <row r="3">
      <c r="A3" s="2" t="inlineStr">
        <is>
          <t>Invoice #</t>
        </is>
      </c>
      <c r="B3" s="2" t="inlineStr">
        <is>
          <t>Date</t>
        </is>
      </c>
      <c r="C3" s="2" t="inlineStr">
        <is>
          <t>Customer</t>
        </is>
      </c>
      <c r="D3" s="2" t="inlineStr">
        <is>
          <t>Description</t>
        </is>
      </c>
      <c r="E3" s="2" t="inlineStr">
        <is>
          <t>Amount ex VAT</t>
        </is>
      </c>
      <c r="F3" s="2" t="inlineStr">
        <is>
          <t>VAT</t>
        </is>
      </c>
      <c r="G3" s="2" t="inlineStr">
        <is>
          <t>Total</t>
        </is>
      </c>
      <c r="H3" s="2" t="inlineStr">
        <is>
          <t>Due date</t>
        </is>
      </c>
      <c r="I3" s="2" t="inlineStr">
        <is>
          <t>Paid?</t>
        </is>
      </c>
      <c r="J3" s="2" t="inlineStr">
        <is>
          <t>Channel</t>
        </is>
      </c>
    </row>
    <row r="4">
      <c r="A4" s="18">
        <f>IF(C4="","",CONCATENATE("INV-",TEXT(1,"000")))</f>
        <v/>
      </c>
      <c r="B4" s="6" t="n"/>
      <c r="C4" s="6" t="n"/>
      <c r="D4" s="6" t="n"/>
      <c r="E4" s="8" t="n"/>
      <c r="F4" s="16">
        <f>IF(E4="","",IF('01_Setup'!B14="Ja",E4*'01_Setup'!B15,0))</f>
        <v/>
      </c>
      <c r="G4" s="16">
        <f>IF(E4="","",E4+F4)</f>
        <v/>
      </c>
      <c r="H4" s="6" t="n"/>
      <c r="I4" s="6" t="n"/>
      <c r="J4" s="6" t="n"/>
    </row>
    <row r="5">
      <c r="A5" s="18">
        <f>IF(C5="","",CONCATENATE("INV-",TEXT(2,"000")))</f>
        <v/>
      </c>
      <c r="B5" s="6" t="n"/>
      <c r="C5" s="6" t="n"/>
      <c r="D5" s="6" t="n"/>
      <c r="E5" s="8" t="n"/>
      <c r="F5" s="16">
        <f>IF(E5="","",IF('01_Setup'!B14="Ja",E5*'01_Setup'!B15,0))</f>
        <v/>
      </c>
      <c r="G5" s="16">
        <f>IF(E5="","",E5+F5)</f>
        <v/>
      </c>
      <c r="H5" s="6" t="n"/>
      <c r="I5" s="6" t="n"/>
      <c r="J5" s="6" t="n"/>
    </row>
    <row r="6">
      <c r="A6" s="18">
        <f>IF(C6="","",CONCATENATE("INV-",TEXT(3,"000")))</f>
        <v/>
      </c>
      <c r="B6" s="6" t="n"/>
      <c r="C6" s="6" t="n"/>
      <c r="D6" s="6" t="n"/>
      <c r="E6" s="8" t="n"/>
      <c r="F6" s="16">
        <f>IF(E6="","",IF('01_Setup'!B14="Ja",E6*'01_Setup'!B15,0))</f>
        <v/>
      </c>
      <c r="G6" s="16">
        <f>IF(E6="","",E6+F6)</f>
        <v/>
      </c>
      <c r="H6" s="6" t="n"/>
      <c r="I6" s="6" t="n"/>
      <c r="J6" s="6" t="n"/>
    </row>
    <row r="7">
      <c r="A7" s="18">
        <f>IF(C7="","",CONCATENATE("INV-",TEXT(4,"000")))</f>
        <v/>
      </c>
      <c r="B7" s="6" t="n"/>
      <c r="C7" s="6" t="n"/>
      <c r="D7" s="6" t="n"/>
      <c r="E7" s="8" t="n"/>
      <c r="F7" s="16">
        <f>IF(E7="","",IF('01_Setup'!B14="Ja",E7*'01_Setup'!B15,0))</f>
        <v/>
      </c>
      <c r="G7" s="16">
        <f>IF(E7="","",E7+F7)</f>
        <v/>
      </c>
      <c r="H7" s="6" t="n"/>
      <c r="I7" s="6" t="n"/>
      <c r="J7" s="6" t="n"/>
    </row>
    <row r="8">
      <c r="A8" s="18">
        <f>IF(C8="","",CONCATENATE("INV-",TEXT(5,"000")))</f>
        <v/>
      </c>
      <c r="B8" s="6" t="n"/>
      <c r="C8" s="6" t="n"/>
      <c r="D8" s="6" t="n"/>
      <c r="E8" s="8" t="n"/>
      <c r="F8" s="16">
        <f>IF(E8="","",IF('01_Setup'!B14="Ja",E8*'01_Setup'!B15,0))</f>
        <v/>
      </c>
      <c r="G8" s="16">
        <f>IF(E8="","",E8+F8)</f>
        <v/>
      </c>
      <c r="H8" s="6" t="n"/>
      <c r="I8" s="6" t="n"/>
      <c r="J8" s="6" t="n"/>
    </row>
    <row r="9">
      <c r="A9" s="18">
        <f>IF(C9="","",CONCATENATE("INV-",TEXT(6,"000")))</f>
        <v/>
      </c>
      <c r="B9" s="6" t="n"/>
      <c r="C9" s="6" t="n"/>
      <c r="D9" s="6" t="n"/>
      <c r="E9" s="8" t="n"/>
      <c r="F9" s="16">
        <f>IF(E9="","",IF('01_Setup'!B14="Ja",E9*'01_Setup'!B15,0))</f>
        <v/>
      </c>
      <c r="G9" s="16">
        <f>IF(E9="","",E9+F9)</f>
        <v/>
      </c>
      <c r="H9" s="6" t="n"/>
      <c r="I9" s="6" t="n"/>
      <c r="J9" s="6" t="n"/>
    </row>
    <row r="10">
      <c r="A10" s="18">
        <f>IF(C10="","",CONCATENATE("INV-",TEXT(7,"000")))</f>
        <v/>
      </c>
      <c r="B10" s="6" t="n"/>
      <c r="C10" s="6" t="n"/>
      <c r="D10" s="6" t="n"/>
      <c r="E10" s="8" t="n"/>
      <c r="F10" s="16">
        <f>IF(E10="","",IF('01_Setup'!B14="Ja",E10*'01_Setup'!B15,0))</f>
        <v/>
      </c>
      <c r="G10" s="16">
        <f>IF(E10="","",E10+F10)</f>
        <v/>
      </c>
      <c r="H10" s="6" t="n"/>
      <c r="I10" s="6" t="n"/>
      <c r="J10" s="6" t="n"/>
    </row>
    <row r="11">
      <c r="A11" s="18">
        <f>IF(C11="","",CONCATENATE("INV-",TEXT(8,"000")))</f>
        <v/>
      </c>
      <c r="B11" s="6" t="n"/>
      <c r="C11" s="6" t="n"/>
      <c r="D11" s="6" t="n"/>
      <c r="E11" s="8" t="n"/>
      <c r="F11" s="16">
        <f>IF(E11="","",IF('01_Setup'!B14="Ja",E11*'01_Setup'!B15,0))</f>
        <v/>
      </c>
      <c r="G11" s="16">
        <f>IF(E11="","",E11+F11)</f>
        <v/>
      </c>
      <c r="H11" s="6" t="n"/>
      <c r="I11" s="6" t="n"/>
      <c r="J11" s="6" t="n"/>
    </row>
    <row r="12">
      <c r="A12" s="18">
        <f>IF(C12="","",CONCATENATE("INV-",TEXT(9,"000")))</f>
        <v/>
      </c>
      <c r="B12" s="6" t="n"/>
      <c r="C12" s="6" t="n"/>
      <c r="D12" s="6" t="n"/>
      <c r="E12" s="8" t="n"/>
      <c r="F12" s="16">
        <f>IF(E12="","",IF('01_Setup'!B14="Ja",E12*'01_Setup'!B15,0))</f>
        <v/>
      </c>
      <c r="G12" s="16">
        <f>IF(E12="","",E12+F12)</f>
        <v/>
      </c>
      <c r="H12" s="6" t="n"/>
      <c r="I12" s="6" t="n"/>
      <c r="J12" s="6" t="n"/>
    </row>
    <row r="13">
      <c r="A13" s="18">
        <f>IF(C13="","",CONCATENATE("INV-",TEXT(10,"000")))</f>
        <v/>
      </c>
      <c r="B13" s="6" t="n"/>
      <c r="C13" s="6" t="n"/>
      <c r="D13" s="6" t="n"/>
      <c r="E13" s="8" t="n"/>
      <c r="F13" s="16">
        <f>IF(E13="","",IF('01_Setup'!B14="Ja",E13*'01_Setup'!B15,0))</f>
        <v/>
      </c>
      <c r="G13" s="16">
        <f>IF(E13="","",E13+F13)</f>
        <v/>
      </c>
      <c r="H13" s="6" t="n"/>
      <c r="I13" s="6" t="n"/>
      <c r="J13" s="6" t="n"/>
    </row>
    <row r="14">
      <c r="A14" s="18">
        <f>IF(C14="","",CONCATENATE("INV-",TEXT(11,"000")))</f>
        <v/>
      </c>
      <c r="B14" s="6" t="n"/>
      <c r="C14" s="6" t="n"/>
      <c r="D14" s="6" t="n"/>
      <c r="E14" s="8" t="n"/>
      <c r="F14" s="16">
        <f>IF(E14="","",IF('01_Setup'!B14="Ja",E14*'01_Setup'!B15,0))</f>
        <v/>
      </c>
      <c r="G14" s="16">
        <f>IF(E14="","",E14+F14)</f>
        <v/>
      </c>
      <c r="H14" s="6" t="n"/>
      <c r="I14" s="6" t="n"/>
      <c r="J14" s="6" t="n"/>
    </row>
    <row r="15">
      <c r="A15" s="18">
        <f>IF(C15="","",CONCATENATE("INV-",TEXT(12,"000")))</f>
        <v/>
      </c>
      <c r="B15" s="6" t="n"/>
      <c r="C15" s="6" t="n"/>
      <c r="D15" s="6" t="n"/>
      <c r="E15" s="8" t="n"/>
      <c r="F15" s="16">
        <f>IF(E15="","",IF('01_Setup'!B14="Ja",E15*'01_Setup'!B15,0))</f>
        <v/>
      </c>
      <c r="G15" s="16">
        <f>IF(E15="","",E15+F15)</f>
        <v/>
      </c>
      <c r="H15" s="6" t="n"/>
      <c r="I15" s="6" t="n"/>
      <c r="J15" s="6" t="n"/>
    </row>
    <row r="16">
      <c r="A16" s="18">
        <f>IF(C16="","",CONCATENATE("INV-",TEXT(13,"000")))</f>
        <v/>
      </c>
      <c r="B16" s="6" t="n"/>
      <c r="C16" s="6" t="n"/>
      <c r="D16" s="6" t="n"/>
      <c r="E16" s="8" t="n"/>
      <c r="F16" s="16">
        <f>IF(E16="","",IF('01_Setup'!B14="Ja",E16*'01_Setup'!B15,0))</f>
        <v/>
      </c>
      <c r="G16" s="16">
        <f>IF(E16="","",E16+F16)</f>
        <v/>
      </c>
      <c r="H16" s="6" t="n"/>
      <c r="I16" s="6" t="n"/>
      <c r="J16" s="6" t="n"/>
    </row>
    <row r="17">
      <c r="A17" s="18">
        <f>IF(C17="","",CONCATENATE("INV-",TEXT(14,"000")))</f>
        <v/>
      </c>
      <c r="B17" s="6" t="n"/>
      <c r="C17" s="6" t="n"/>
      <c r="D17" s="6" t="n"/>
      <c r="E17" s="8" t="n"/>
      <c r="F17" s="16">
        <f>IF(E17="","",IF('01_Setup'!B14="Ja",E17*'01_Setup'!B15,0))</f>
        <v/>
      </c>
      <c r="G17" s="16">
        <f>IF(E17="","",E17+F17)</f>
        <v/>
      </c>
      <c r="H17" s="6" t="n"/>
      <c r="I17" s="6" t="n"/>
      <c r="J17" s="6" t="n"/>
    </row>
    <row r="18">
      <c r="A18" s="18">
        <f>IF(C18="","",CONCATENATE("INV-",TEXT(15,"000")))</f>
        <v/>
      </c>
      <c r="B18" s="6" t="n"/>
      <c r="C18" s="6" t="n"/>
      <c r="D18" s="6" t="n"/>
      <c r="E18" s="8" t="n"/>
      <c r="F18" s="16">
        <f>IF(E18="","",IF('01_Setup'!B14="Ja",E18*'01_Setup'!B15,0))</f>
        <v/>
      </c>
      <c r="G18" s="16">
        <f>IF(E18="","",E18+F18)</f>
        <v/>
      </c>
      <c r="H18" s="6" t="n"/>
      <c r="I18" s="6" t="n"/>
      <c r="J18" s="6" t="n"/>
    </row>
    <row r="19">
      <c r="A19" s="18">
        <f>IF(C19="","",CONCATENATE("INV-",TEXT(16,"000")))</f>
        <v/>
      </c>
      <c r="B19" s="6" t="n"/>
      <c r="C19" s="6" t="n"/>
      <c r="D19" s="6" t="n"/>
      <c r="E19" s="8" t="n"/>
      <c r="F19" s="16">
        <f>IF(E19="","",IF('01_Setup'!B14="Ja",E19*'01_Setup'!B15,0))</f>
        <v/>
      </c>
      <c r="G19" s="16">
        <f>IF(E19="","",E19+F19)</f>
        <v/>
      </c>
      <c r="H19" s="6" t="n"/>
      <c r="I19" s="6" t="n"/>
      <c r="J19" s="6" t="n"/>
    </row>
    <row r="20">
      <c r="A20" s="18">
        <f>IF(C20="","",CONCATENATE("INV-",TEXT(17,"000")))</f>
        <v/>
      </c>
      <c r="B20" s="6" t="n"/>
      <c r="C20" s="6" t="n"/>
      <c r="D20" s="6" t="n"/>
      <c r="E20" s="8" t="n"/>
      <c r="F20" s="16">
        <f>IF(E20="","",IF('01_Setup'!B14="Ja",E20*'01_Setup'!B15,0))</f>
        <v/>
      </c>
      <c r="G20" s="16">
        <f>IF(E20="","",E20+F20)</f>
        <v/>
      </c>
      <c r="H20" s="6" t="n"/>
      <c r="I20" s="6" t="n"/>
      <c r="J20" s="6" t="n"/>
    </row>
    <row r="21">
      <c r="A21" s="18">
        <f>IF(C21="","",CONCATENATE("INV-",TEXT(18,"000")))</f>
        <v/>
      </c>
      <c r="B21" s="6" t="n"/>
      <c r="C21" s="6" t="n"/>
      <c r="D21" s="6" t="n"/>
      <c r="E21" s="8" t="n"/>
      <c r="F21" s="16">
        <f>IF(E21="","",IF('01_Setup'!B14="Ja",E21*'01_Setup'!B15,0))</f>
        <v/>
      </c>
      <c r="G21" s="16">
        <f>IF(E21="","",E21+F21)</f>
        <v/>
      </c>
      <c r="H21" s="6" t="n"/>
      <c r="I21" s="6" t="n"/>
      <c r="J21" s="6" t="n"/>
    </row>
    <row r="22">
      <c r="A22" s="18">
        <f>IF(C22="","",CONCATENATE("INV-",TEXT(19,"000")))</f>
        <v/>
      </c>
      <c r="B22" s="6" t="n"/>
      <c r="C22" s="6" t="n"/>
      <c r="D22" s="6" t="n"/>
      <c r="E22" s="8" t="n"/>
      <c r="F22" s="16">
        <f>IF(E22="","",IF('01_Setup'!B14="Ja",E22*'01_Setup'!B15,0))</f>
        <v/>
      </c>
      <c r="G22" s="16">
        <f>IF(E22="","",E22+F22)</f>
        <v/>
      </c>
      <c r="H22" s="6" t="n"/>
      <c r="I22" s="6" t="n"/>
      <c r="J22" s="6" t="n"/>
    </row>
    <row r="23">
      <c r="A23" s="18">
        <f>IF(C23="","",CONCATENATE("INV-",TEXT(20,"000")))</f>
        <v/>
      </c>
      <c r="B23" s="6" t="n"/>
      <c r="C23" s="6" t="n"/>
      <c r="D23" s="6" t="n"/>
      <c r="E23" s="8" t="n"/>
      <c r="F23" s="16">
        <f>IF(E23="","",IF('01_Setup'!B14="Ja",E23*'01_Setup'!B15,0))</f>
        <v/>
      </c>
      <c r="G23" s="16">
        <f>IF(E23="","",E23+F23)</f>
        <v/>
      </c>
      <c r="H23" s="6" t="n"/>
      <c r="I23" s="6" t="n"/>
      <c r="J23" s="6" t="n"/>
    </row>
    <row r="24">
      <c r="A24" s="18">
        <f>IF(C24="","",CONCATENATE("INV-",TEXT(21,"000")))</f>
        <v/>
      </c>
      <c r="B24" s="6" t="n"/>
      <c r="C24" s="6" t="n"/>
      <c r="D24" s="6" t="n"/>
      <c r="E24" s="8" t="n"/>
      <c r="F24" s="16">
        <f>IF(E24="","",IF('01_Setup'!B14="Ja",E24*'01_Setup'!B15,0))</f>
        <v/>
      </c>
      <c r="G24" s="16">
        <f>IF(E24="","",E24+F24)</f>
        <v/>
      </c>
      <c r="H24" s="6" t="n"/>
      <c r="I24" s="6" t="n"/>
      <c r="J24" s="6" t="n"/>
    </row>
    <row r="25">
      <c r="A25" s="18">
        <f>IF(C25="","",CONCATENATE("INV-",TEXT(22,"000")))</f>
        <v/>
      </c>
      <c r="B25" s="6" t="n"/>
      <c r="C25" s="6" t="n"/>
      <c r="D25" s="6" t="n"/>
      <c r="E25" s="8" t="n"/>
      <c r="F25" s="16">
        <f>IF(E25="","",IF('01_Setup'!B14="Ja",E25*'01_Setup'!B15,0))</f>
        <v/>
      </c>
      <c r="G25" s="16">
        <f>IF(E25="","",E25+F25)</f>
        <v/>
      </c>
      <c r="H25" s="6" t="n"/>
      <c r="I25" s="6" t="n"/>
      <c r="J25" s="6" t="n"/>
    </row>
    <row r="26">
      <c r="A26" s="18">
        <f>IF(C26="","",CONCATENATE("INV-",TEXT(23,"000")))</f>
        <v/>
      </c>
      <c r="B26" s="6" t="n"/>
      <c r="C26" s="6" t="n"/>
      <c r="D26" s="6" t="n"/>
      <c r="E26" s="8" t="n"/>
      <c r="F26" s="16">
        <f>IF(E26="","",IF('01_Setup'!B14="Ja",E26*'01_Setup'!B15,0))</f>
        <v/>
      </c>
      <c r="G26" s="16">
        <f>IF(E26="","",E26+F26)</f>
        <v/>
      </c>
      <c r="H26" s="6" t="n"/>
      <c r="I26" s="6" t="n"/>
      <c r="J26" s="6" t="n"/>
    </row>
    <row r="27">
      <c r="A27" s="18">
        <f>IF(C27="","",CONCATENATE("INV-",TEXT(24,"000")))</f>
        <v/>
      </c>
      <c r="B27" s="6" t="n"/>
      <c r="C27" s="6" t="n"/>
      <c r="D27" s="6" t="n"/>
      <c r="E27" s="8" t="n"/>
      <c r="F27" s="16">
        <f>IF(E27="","",IF('01_Setup'!B14="Ja",E27*'01_Setup'!B15,0))</f>
        <v/>
      </c>
      <c r="G27" s="16">
        <f>IF(E27="","",E27+F27)</f>
        <v/>
      </c>
      <c r="H27" s="6" t="n"/>
      <c r="I27" s="6" t="n"/>
      <c r="J27" s="6" t="n"/>
    </row>
    <row r="28">
      <c r="A28" s="18">
        <f>IF(C28="","",CONCATENATE("INV-",TEXT(25,"000")))</f>
        <v/>
      </c>
      <c r="B28" s="6" t="n"/>
      <c r="C28" s="6" t="n"/>
      <c r="D28" s="6" t="n"/>
      <c r="E28" s="8" t="n"/>
      <c r="F28" s="16">
        <f>IF(E28="","",IF('01_Setup'!B14="Ja",E28*'01_Setup'!B15,0))</f>
        <v/>
      </c>
      <c r="G28" s="16">
        <f>IF(E28="","",E28+F28)</f>
        <v/>
      </c>
      <c r="H28" s="6" t="n"/>
      <c r="I28" s="6" t="n"/>
      <c r="J28" s="6" t="n"/>
    </row>
    <row r="29">
      <c r="A29" s="18">
        <f>IF(C29="","",CONCATENATE("INV-",TEXT(26,"000")))</f>
        <v/>
      </c>
      <c r="B29" s="6" t="n"/>
      <c r="C29" s="6" t="n"/>
      <c r="D29" s="6" t="n"/>
      <c r="E29" s="8" t="n"/>
      <c r="F29" s="16">
        <f>IF(E29="","",IF('01_Setup'!B14="Ja",E29*'01_Setup'!B15,0))</f>
        <v/>
      </c>
      <c r="G29" s="16">
        <f>IF(E29="","",E29+F29)</f>
        <v/>
      </c>
      <c r="H29" s="6" t="n"/>
      <c r="I29" s="6" t="n"/>
      <c r="J29" s="6" t="n"/>
    </row>
    <row r="30">
      <c r="A30" s="18">
        <f>IF(C30="","",CONCATENATE("INV-",TEXT(27,"000")))</f>
        <v/>
      </c>
      <c r="B30" s="6" t="n"/>
      <c r="C30" s="6" t="n"/>
      <c r="D30" s="6" t="n"/>
      <c r="E30" s="8" t="n"/>
      <c r="F30" s="16">
        <f>IF(E30="","",IF('01_Setup'!B14="Ja",E30*'01_Setup'!B15,0))</f>
        <v/>
      </c>
      <c r="G30" s="16">
        <f>IF(E30="","",E30+F30)</f>
        <v/>
      </c>
      <c r="H30" s="6" t="n"/>
      <c r="I30" s="6" t="n"/>
      <c r="J30" s="6" t="n"/>
    </row>
    <row r="31">
      <c r="A31" s="18">
        <f>IF(C31="","",CONCATENATE("INV-",TEXT(28,"000")))</f>
        <v/>
      </c>
      <c r="B31" s="6" t="n"/>
      <c r="C31" s="6" t="n"/>
      <c r="D31" s="6" t="n"/>
      <c r="E31" s="8" t="n"/>
      <c r="F31" s="16">
        <f>IF(E31="","",IF('01_Setup'!B14="Ja",E31*'01_Setup'!B15,0))</f>
        <v/>
      </c>
      <c r="G31" s="16">
        <f>IF(E31="","",E31+F31)</f>
        <v/>
      </c>
      <c r="H31" s="6" t="n"/>
      <c r="I31" s="6" t="n"/>
      <c r="J31" s="6" t="n"/>
    </row>
    <row r="32">
      <c r="A32" s="18">
        <f>IF(C32="","",CONCATENATE("INV-",TEXT(29,"000")))</f>
        <v/>
      </c>
      <c r="B32" s="6" t="n"/>
      <c r="C32" s="6" t="n"/>
      <c r="D32" s="6" t="n"/>
      <c r="E32" s="8" t="n"/>
      <c r="F32" s="16">
        <f>IF(E32="","",IF('01_Setup'!B14="Ja",E32*'01_Setup'!B15,0))</f>
        <v/>
      </c>
      <c r="G32" s="16">
        <f>IF(E32="","",E32+F32)</f>
        <v/>
      </c>
      <c r="H32" s="6" t="n"/>
      <c r="I32" s="6" t="n"/>
      <c r="J32" s="6" t="n"/>
    </row>
    <row r="33">
      <c r="A33" s="18">
        <f>IF(C33="","",CONCATENATE("INV-",TEXT(30,"000")))</f>
        <v/>
      </c>
      <c r="B33" s="6" t="n"/>
      <c r="C33" s="6" t="n"/>
      <c r="D33" s="6" t="n"/>
      <c r="E33" s="8" t="n"/>
      <c r="F33" s="16">
        <f>IF(E33="","",IF('01_Setup'!B14="Ja",E33*'01_Setup'!B15,0))</f>
        <v/>
      </c>
      <c r="G33" s="16">
        <f>IF(E33="","",E33+F33)</f>
        <v/>
      </c>
      <c r="H33" s="6" t="n"/>
      <c r="I33" s="6" t="n"/>
      <c r="J33" s="6" t="n"/>
    </row>
  </sheetData>
  <mergeCells count="1">
    <mergeCell ref="A1:J1"/>
  </mergeCells>
  <dataValidations count="1">
    <dataValidation sqref="I4:I33" showDropDown="0" showInputMessage="0" showErrorMessage="0" allowBlank="1" type="list">
      <formula1>"No,Yes,Overdue"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0" customWidth="1" min="3" max="3"/>
  </cols>
  <sheetData>
    <row r="1" ht="28" customHeight="1">
      <c r="A1" s="1" t="inlineStr">
        <is>
          <t>Illustrative tax / take-home estimate — NOT advice</t>
        </is>
      </c>
    </row>
    <row r="3" ht="60" customHeight="1">
      <c r="A3" t="inlineStr">
        <is>
          <t>Warning</t>
        </is>
      </c>
      <c r="B3" s="22" t="inlineStr">
        <is>
          <t>These figures are planning illustrations only. Swedish tax depends on municipality, deductions, whether you are employee via egenanställning, F-skatt, VAT, and more. Use an accountant or Skatteverket tools for real decisions.</t>
        </is>
      </c>
    </row>
    <row r="5">
      <c r="A5" s="12" t="inlineStr">
        <is>
          <t>Settled gross income (from Income_Log)</t>
        </is>
      </c>
      <c r="B5" s="16">
        <f>'04_Income_Log'!E55</f>
        <v/>
      </c>
    </row>
    <row r="6">
      <c r="A6" s="12" t="inlineStr">
        <is>
          <t>Settled platform fees</t>
        </is>
      </c>
      <c r="B6" s="16">
        <f>'04_Income_Log'!G55</f>
        <v/>
      </c>
    </row>
    <row r="7">
      <c r="A7" s="12" t="inlineStr">
        <is>
          <t>Settled net before income tax</t>
        </is>
      </c>
      <c r="B7" s="16">
        <f>'04_Income_Log'!H55</f>
        <v/>
      </c>
    </row>
    <row r="8">
      <c r="A8" s="12" t="inlineStr">
        <is>
          <t>Paid expenses</t>
        </is>
      </c>
      <c r="B8" s="16">
        <f>'05_Expense_Log'!E55</f>
        <v/>
      </c>
    </row>
    <row r="9">
      <c r="A9" s="12" t="inlineStr">
        <is>
          <t>Illustrative taxable base</t>
        </is>
      </c>
      <c r="B9" s="16">
        <f>MAX(0,B7-B8)</f>
        <v/>
      </c>
    </row>
    <row r="10">
      <c r="A10" s="12" t="inlineStr">
        <is>
          <t>Illustrative income tax %</t>
        </is>
      </c>
      <c r="B10" s="17">
        <f>'01_Setup'!B8</f>
        <v/>
      </c>
    </row>
    <row r="11">
      <c r="A11" s="12" t="inlineStr">
        <is>
          <t>Illustrative tax</t>
        </is>
      </c>
      <c r="B11" s="16">
        <f>B9*B10</f>
        <v/>
      </c>
    </row>
    <row r="12">
      <c r="A12" s="12" t="inlineStr">
        <is>
          <t>Illustrative take-home</t>
        </is>
      </c>
      <c r="B12" s="23">
        <f>B9-B11</f>
        <v/>
      </c>
    </row>
  </sheetData>
  <mergeCells count="2">
    <mergeCell ref="A1:C1"/>
    <mergeCell ref="B3:C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</cols>
  <sheetData>
    <row r="1" ht="28" customHeight="1">
      <c r="A1" s="1" t="inlineStr">
        <is>
          <t>Dashboard — weekly review</t>
        </is>
      </c>
    </row>
    <row r="2">
      <c r="A2" s="2" t="inlineStr">
        <is>
          <t>Metric</t>
        </is>
      </c>
      <c r="B2" s="2" t="inlineStr">
        <is>
          <t>SEK</t>
        </is>
      </c>
    </row>
    <row r="3">
      <c r="A3" s="12" t="inlineStr">
        <is>
          <t>Starting / tracked cash (Setup)</t>
        </is>
      </c>
      <c r="B3" s="16">
        <f>'01_Setup'!B16</f>
        <v/>
      </c>
    </row>
    <row r="4">
      <c r="A4" s="12" t="inlineStr">
        <is>
          <t>Settled revenue net of platform fees</t>
        </is>
      </c>
      <c r="B4" s="16">
        <f>'04_Income_Log'!H55</f>
        <v/>
      </c>
    </row>
    <row r="5">
      <c r="A5" s="12" t="inlineStr">
        <is>
          <t>Pending revenue net</t>
        </is>
      </c>
      <c r="B5" s="16">
        <f>'04_Income_Log'!H56</f>
        <v/>
      </c>
    </row>
    <row r="6">
      <c r="A6" s="12" t="inlineStr">
        <is>
          <t>Paid expenses</t>
        </is>
      </c>
      <c r="B6" s="16">
        <f>'05_Expense_Log'!E55</f>
        <v/>
      </c>
    </row>
    <row r="7">
      <c r="A7" s="12" t="inlineStr">
        <is>
          <t>Implied cash if pending ignores holds</t>
        </is>
      </c>
      <c r="B7" s="16">
        <f>B3+B4-B6</f>
        <v/>
      </c>
    </row>
    <row r="8">
      <c r="A8" s="12" t="inlineStr">
        <is>
          <t>Illustrative take-home</t>
        </is>
      </c>
      <c r="B8" s="16">
        <f>'08_Tax_Estimate'!B12</f>
        <v/>
      </c>
    </row>
    <row r="9">
      <c r="A9" s="12" t="inlineStr">
        <is>
          <t>Open invoices total</t>
        </is>
      </c>
      <c r="B9" s="16">
        <f>SUMIF('07_Invoice_Log'!I4:I33,"No",'07_Invoice_Log'!G4:G33)</f>
        <v/>
      </c>
    </row>
    <row r="11">
      <c r="A11" s="24" t="inlineStr">
        <is>
          <t>Weekly checklist</t>
        </is>
      </c>
    </row>
    <row r="12">
      <c r="A12" t="inlineStr">
        <is>
          <t>☐ Update Income_Log statuses (Pending → Settled only when withdrawable)</t>
        </is>
      </c>
    </row>
    <row r="13">
      <c r="A13" t="inlineStr">
        <is>
          <t>☐ Log every expense the day it hits</t>
        </is>
      </c>
    </row>
    <row r="14">
      <c r="A14" t="inlineStr">
        <is>
          <t>☐ Re-price next offers using Pricing sheet fee logic</t>
        </is>
      </c>
    </row>
    <row r="15">
      <c r="A15" t="inlineStr">
        <is>
          <t>☐ Chase unpaid invoices &gt; 7 days</t>
        </is>
      </c>
    </row>
    <row r="16">
      <c r="A16" t="inlineStr">
        <is>
          <t>☐ Do not count pending marketplace clears as race score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2026-07-27T21:24:56Z</dcterms:created>
  <dcterms:modified xsi:type="dcterms:W3CDTF">2026-07-27T21:24:56Z</dcterms:modified>
</cp:coreProperties>
</file>